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汇报版本" sheetId="1" r:id="rId3"/>
    <sheet name="整体方案" sheetId="2" r:id="rId4"/>
    <sheet name="广东" sheetId="3" r:id="rId5"/>
    <sheet name="分等级规则" sheetId="4" r:id="rId6"/>
  </sheets>
  <calcPr/>
</workbook>
</file>

<file path=xl/sharedStrings.xml><?xml version="1.0" encoding="utf-8"?>
<sst xmlns="http://schemas.openxmlformats.org/spreadsheetml/2006/main" count="955" uniqueCount="955">
  <si>
    <t/>
  </si>
  <si>
    <t>分级判定规则说明（打分宪法）</t>
  </si>
  <si>
    <t>一、学校类型口径</t>
  </si>
  <si>
    <t>重本 = 双一流 / 985 / 211</t>
  </si>
  <si>
    <t>本A = 公办普通本科（非双一流）</t>
  </si>
  <si>
    <t>本B = 民办本科 + 独立学院 + 职业本科</t>
  </si>
  <si>
    <t>专A = 公办专科 / 高职</t>
  </si>
  <si>
    <t>专B = 民办专科 / 高职</t>
  </si>
  <si>
    <t>二、推荐等级 6 档及判定条件</t>
  </si>
  <si>
    <t>【首轮 S - 势能校】</t>
  </si>
  <si>
    <t>- 985 / C9 / 双一流 A 类</t>
  </si>
  <si>
    <t>- 或省内顶级公办综合性大学</t>
  </si>
  <si>
    <t>- 或电竞/游戏氛围全国闻名的标杆校</t>
  </si>
  <si>
    <t>【首轮 A - 主力校】</t>
  </si>
  <si>
    <t>- 211 / 双一流（非顶尖）</t>
  </si>
  <si>
    <t>- 省内重点公办本科（综合性大学/工科强校）</t>
  </si>
  <si>
    <t>- 在校生 ≥ 1.5万，男生比 ≥ 50%</t>
  </si>
  <si>
    <t>- 校园商业化通道顺畅（无军工/医药/警校属性）</t>
  </si>
  <si>
    <t>【首轮 B - 走量校】</t>
  </si>
  <si>
    <t>- 公办普通本科（非重点）</t>
  </si>
  <si>
    <t>- 或全国百强公办专科</t>
  </si>
  <si>
    <t>- 或工科/IT/铁路/电力/船舶/航空系专科（男生比 ≥ 60%）</t>
  </si>
  <si>
    <t>- 或体量大的民办本科（≥ 1万学生）</t>
  </si>
  <si>
    <t>【首轮 C - 辐射校】</t>
  </si>
  <si>
    <t>- 地市公办本科/专科（非省会）</t>
  </si>
  <si>
    <t>- 民办专科/独立学院转设的小体量校</t>
  </si>
  <si>
    <t>- 师范/财经类（女生多但仍有 ~30% 男生）</t>
  </si>
  <si>
    <t>【备选 - 暂不进首轮但保留观察】</t>
  </si>
  <si>
    <t>- 医药类（卫生健康/中医药/医科大学）</t>
  </si>
  <si>
    <t>- 民族类（民族大学/民族学院）</t>
  </si>
  <si>
    <t>- 中外合办（昆山杜克/西交利物浦等）</t>
  </si>
  <si>
    <t>- 工信部/军工系本科（南理工/南航等）</t>
  </si>
  <si>
    <t>- 师范/幼专类男生比过低但体量大</t>
  </si>
  <si>
    <t>【不进入 - 永不启动】</t>
  </si>
  <si>
    <t>- 军校：军委/陆军/海军/空军/火箭军/武警等直属</t>
  </si>
  <si>
    <t>- 警校/警官：公安部/司法部直属（含铁道警察学院、河南警察学院、山东警察学院等）</t>
  </si>
  <si>
    <t>- 宗教类：佛学院/伊斯兰经学院等</t>
  </si>
  <si>
    <t>- 极小体量：在校生 &lt; 3000</t>
  </si>
  <si>
    <t>- 特殊办学：函授/继续教育/开放大学/中专升专</t>
  </si>
  <si>
    <t>- 艺术类男生比 &lt; 25% 且体量 &lt; 8000</t>
  </si>
  <si>
    <t>- 幼师/护理类女生比 &gt; 85%</t>
  </si>
  <si>
    <t>- 技师学院：非普通高校序列</t>
  </si>
  <si>
    <t>三、数据来源</t>
  </si>
  <si>
    <t>- 教育部 2024 年 6 月公布《全国普通高等学校名单》</t>
  </si>
  <si>
    <t>- 校园方案 04_三省首轮目标学校清单.md</t>
  </si>
  <si>
    <t>- 校园方案 05_湖北江苏全量院校名录.md</t>
  </si>
  <si>
    <t>- 校园方案 07_选省论证矩阵_公开数据版.md（选省决策依据）</t>
  </si>
  <si>
    <t>- 各省教育厅高校信息公开</t>
  </si>
  <si>
    <t>四、版本演进</t>
  </si>
  <si>
    <t>v1 (326 校)：广东/湖南/四川/湖北/江苏 商业化筛选口径</t>
  </si>
  <si>
    <t>v2 (760 校)：五省补齐至教育部口径</t>
  </si>
  <si>
    <t>v3 (本版, ~1100 校)：新增山东、河南两省全量入表，区分首轮/第二批</t>
  </si>
  <si>
    <t>五、使用建议</t>
  </si>
  <si>
    <t>- 对外汇报省内覆盖率：使用本表七省全量</t>
  </si>
  <si>
    <t>- 对内执行方案落地：首轮五省取 S+A+B+C 共约 480 所</t>
  </si>
  <si>
    <t>- 第二批两省（山东/河南）：先做数据回测，不直接进入首轮投放</t>
  </si>
  <si>
    <t>- 河南建议单独立项为'下沉走量盘'，与高线方案区分</t>
  </si>
  <si>
    <t>- 备选项每季度复盘是否转入首轮</t>
  </si>
  <si>
    <t>- 不进入项永久封盘，避免主理人浪费精力试探</t>
  </si>
  <si>
    <t>序号</t>
  </si>
  <si>
    <t>省份</t>
  </si>
  <si>
    <t>城市</t>
  </si>
  <si>
    <t>区/县</t>
  </si>
  <si>
    <t>学校类型</t>
  </si>
  <si>
    <t>学校名称</t>
  </si>
  <si>
    <t>地址</t>
  </si>
  <si>
    <t>推荐等级</t>
  </si>
  <si>
    <t>分级原因</t>
  </si>
  <si>
    <t>备注</t>
  </si>
  <si>
    <t>广东</t>
  </si>
  <si>
    <t>广州</t>
  </si>
  <si>
    <t>海珠区</t>
  </si>
  <si>
    <t>重本</t>
  </si>
  <si>
    <t>中山大学</t>
  </si>
  <si>
    <t>新港西路 135 号</t>
  </si>
  <si>
    <t>首轮S</t>
  </si>
  <si>
    <t>985/双一流，岭南顶级 / [活动]2025-05 广州·中大东校园体育馆 中大第十二届电子竞技节(英雄联盟/王者荣耀/无畏契约)，腾讯电竞校园行联动</t>
  </si>
  <si>
    <t>顶级势能校</t>
  </si>
  <si>
    <t>天河区</t>
  </si>
  <si>
    <t>华南理工大学</t>
  </si>
  <si>
    <t>五山路 381 号</t>
  </si>
  <si>
    <t>[电竞] 数字媒体技术(国家级一流本科专业);原因:985/双一流，工科 / [活动]2025-04 广州·华工大学城校区 华工电竞文化节 &amp; 数字媒体技术专业联合「腾讯游戏高校公开课」</t>
  </si>
  <si>
    <t>暨南大学</t>
  </si>
  <si>
    <t>黄埔大道西 601 号</t>
  </si>
  <si>
    <t>211/双一流，侨校 / [活动]2025-11 广州·暨大番禺校区体育馆 暨大「侨情杯」电竞嘉年华，王者荣耀+和平精英校园分站赛</t>
  </si>
  <si>
    <t>主力校</t>
  </si>
  <si>
    <t>深圳</t>
  </si>
  <si>
    <t>南山区</t>
  </si>
  <si>
    <t>南方科技大学</t>
  </si>
  <si>
    <t>学苑大道 1088 号</t>
  </si>
  <si>
    <t>新型研究型大学 / [活动]2025-09 深圳·南科大体育馆 南科大新生电竞嘉年华(英雄联盟+无畏契约)</t>
  </si>
  <si>
    <t>深圳大学</t>
  </si>
  <si>
    <t>南海大道 3688 号</t>
  </si>
  <si>
    <t>省重点冲一流 / [活动]2025-06 深圳·深大粤海校区 深大荔园电竞节(KPL高校联赛深圳赛区主场)</t>
  </si>
  <si>
    <t>东莞</t>
  </si>
  <si>
    <t>松山湖</t>
  </si>
  <si>
    <t>本A</t>
  </si>
  <si>
    <t>东莞理工学院</t>
  </si>
  <si>
    <t>松山湖大学路 1 号</t>
  </si>
  <si>
    <t>[电竞] 数字媒体技术专业;原因:公办工科本科 / [活动]2025-04 东莞·松山湖校区 莞工电竞嘉年华(英雄联盟+王者荣耀+无畏契约校园赛)</t>
  </si>
  <si>
    <t>广东工业大学(大学城)</t>
  </si>
  <si>
    <t>外环西路 100 号</t>
  </si>
  <si>
    <t>[电竞] 数字媒体技术(含游戏方向),艺术与设计学院;原因:工科主力 / [活动]2025-05 广州·广工大学城校区 广工电竞文化周(KPL大学生联赛广州赛区主场)</t>
  </si>
  <si>
    <t>番禺区</t>
  </si>
  <si>
    <t>广州大学</t>
  </si>
  <si>
    <t>外环西路 230 号</t>
  </si>
  <si>
    <t>[电竞] 数字媒体技术/动画专业,艺术学院;原因:公办综合体量大 / [活动]2025-04 广州·广大大学城校区 广大数字媒体节，含游戏开发工作坊+电竞表演赛</t>
  </si>
  <si>
    <t>深圳技术大学</t>
  </si>
  <si>
    <t>石龙仔路 3002 号</t>
  </si>
  <si>
    <t>公办工科本科 / [活动]2025-10 深圳·深技大坪山校区 深技大首届数字娱乐文化节(含电竞表演赛)</t>
  </si>
  <si>
    <t>华南农业大学</t>
  </si>
  <si>
    <t>五山路 483 号</t>
  </si>
  <si>
    <t>首轮A</t>
  </si>
  <si>
    <t>双一流</t>
  </si>
  <si>
    <t>华南师范大学</t>
  </si>
  <si>
    <t>石牌街中山大道西 55 号</t>
  </si>
  <si>
    <t>211/双一流 / [活动]2025-10 广州·华师石牌校区 华师电竞文化节，与华南电竞协会联办的高校邀请赛</t>
  </si>
  <si>
    <t>汕头</t>
  </si>
  <si>
    <t>金平区</t>
  </si>
  <si>
    <t>汕头大学</t>
  </si>
  <si>
    <t>大学路 243 号</t>
  </si>
  <si>
    <t>省重点</t>
  </si>
  <si>
    <t>龙岗区</t>
  </si>
  <si>
    <t>哈尔滨工业大学(深圳)</t>
  </si>
  <si>
    <t>深圳市南山区桃源街道深圳大学城 HIT 校区</t>
  </si>
  <si>
    <t>985 异地校区 / [A官网核实]</t>
  </si>
  <si>
    <t>珠海</t>
  </si>
  <si>
    <t>金湾区</t>
  </si>
  <si>
    <t>中山大学珠海校区</t>
  </si>
  <si>
    <t>珠海市香洲区唐家湾镇翠湾道</t>
  </si>
  <si>
    <t>暨南大学珠海校区</t>
  </si>
  <si>
    <t>珠海市香洲区唐家湾金凤路 206 号</t>
  </si>
  <si>
    <t>211 异地校区 / [A官网核实]</t>
  </si>
  <si>
    <t>中山</t>
  </si>
  <si>
    <t>石岐区</t>
  </si>
  <si>
    <t>中山火炬职业技术学院</t>
  </si>
  <si>
    <t>中山市火炬开发区科技大道中 28 号</t>
  </si>
  <si>
    <t>公办专科 / [A官网核实]</t>
  </si>
  <si>
    <t>辐射校</t>
  </si>
  <si>
    <t>电子科技大学中山学院</t>
  </si>
  <si>
    <t>学院路 1 号</t>
  </si>
  <si>
    <t>民办本科(转设)</t>
  </si>
  <si>
    <t>走量校</t>
  </si>
  <si>
    <t>仲恺农业工程学院</t>
  </si>
  <si>
    <t>东莞庄路 501 号</t>
  </si>
  <si>
    <t>公办农科</t>
  </si>
  <si>
    <t>白云区</t>
  </si>
  <si>
    <t>广东外语外贸大学</t>
  </si>
  <si>
    <t>白云大道北 2 号</t>
  </si>
  <si>
    <t>外语类公办</t>
  </si>
  <si>
    <t>广东第二师范学院</t>
  </si>
  <si>
    <t>海原中路 351 号</t>
  </si>
  <si>
    <t>公办师范</t>
  </si>
  <si>
    <t>广东财经大学</t>
  </si>
  <si>
    <t>仑头路 21 号</t>
  </si>
  <si>
    <t>财经强校</t>
  </si>
  <si>
    <t>广东金融学院</t>
  </si>
  <si>
    <t>迎福路 527 号</t>
  </si>
  <si>
    <t>财经类公办</t>
  </si>
  <si>
    <t>广州体育学院</t>
  </si>
  <si>
    <t>广州大道中 1268 号</t>
  </si>
  <si>
    <t>体育类</t>
  </si>
  <si>
    <t>广州商学院</t>
  </si>
  <si>
    <t>黄埔区九龙大道</t>
  </si>
  <si>
    <t>民办本科(更名)</t>
  </si>
  <si>
    <t>广州航海学院</t>
  </si>
  <si>
    <t>红山三路 101 号</t>
  </si>
  <si>
    <t>男生比 75%</t>
  </si>
  <si>
    <t>惠州</t>
  </si>
  <si>
    <t>惠城区</t>
  </si>
  <si>
    <t>惠州学院</t>
  </si>
  <si>
    <t>演达大道 46 号</t>
  </si>
  <si>
    <t>公办本科</t>
  </si>
  <si>
    <t>惠州经济职业技术学院</t>
  </si>
  <si>
    <t>惠州市惠城区金山湖大道</t>
  </si>
  <si>
    <t>民办专科 / [B公开口径]（公开校区位置,门牌号待主理人现场核对）</t>
  </si>
  <si>
    <t>揭阳</t>
  </si>
  <si>
    <t>榕城区</t>
  </si>
  <si>
    <t>揭阳职业技术学院</t>
  </si>
  <si>
    <t>揭阳市榕城区新阳东路 999 号</t>
  </si>
  <si>
    <t>梅州</t>
  </si>
  <si>
    <t>梅江区</t>
  </si>
  <si>
    <t>嘉应学院</t>
  </si>
  <si>
    <t>梅州市梅江区西郊街道梅松路 100 号</t>
  </si>
  <si>
    <t>公办综合 / [A官网核实]</t>
  </si>
  <si>
    <t>汕尾</t>
  </si>
  <si>
    <t>陆河县</t>
  </si>
  <si>
    <t>深圳大学汕尾校区</t>
  </si>
  <si>
    <t>汕尾市陆河县河田镇深大路 1 号(规划中)</t>
  </si>
  <si>
    <t>异地校区筹建 / [C规划/筹建/分校]</t>
  </si>
  <si>
    <t>保留观察</t>
  </si>
  <si>
    <t>江门</t>
  </si>
  <si>
    <t>蓬江区</t>
  </si>
  <si>
    <t>五邑大学</t>
  </si>
  <si>
    <t>江门市蓬江区东成村江海路 22 号</t>
  </si>
  <si>
    <t>公办本科 / [A官网核实]</t>
  </si>
  <si>
    <t>河源</t>
  </si>
  <si>
    <t>源城区</t>
  </si>
  <si>
    <t>河源职业技术学院</t>
  </si>
  <si>
    <t>源南镇大塘村</t>
  </si>
  <si>
    <t>公办专科</t>
  </si>
  <si>
    <t>中山大学深圳校区</t>
  </si>
  <si>
    <t>深圳市光明区公常路 66 号</t>
  </si>
  <si>
    <t>北京理工大学深圳校区</t>
  </si>
  <si>
    <t>深圳市光明区新湖街道圳园路 1 号</t>
  </si>
  <si>
    <t>异地校区 / [A官网核实]</t>
  </si>
  <si>
    <t>湛江</t>
  </si>
  <si>
    <t>麻章区</t>
  </si>
  <si>
    <t>岭南师范学院</t>
  </si>
  <si>
    <t>寸金路 29 号</t>
  </si>
  <si>
    <t>广东海洋大学</t>
  </si>
  <si>
    <t>海大路 1 号</t>
  </si>
  <si>
    <t>潮州</t>
  </si>
  <si>
    <t>湘桥区</t>
  </si>
  <si>
    <t>韩山师范学院</t>
  </si>
  <si>
    <t>潮州市湘桥区桥东街道韩师路 1 号</t>
  </si>
  <si>
    <t>公办师范 / [A官网核实]</t>
  </si>
  <si>
    <t>北京师范大学珠海校区</t>
  </si>
  <si>
    <t>珠海市香洲区唐家湾金凤路 18 号</t>
  </si>
  <si>
    <t>北京理工大学珠海学院</t>
  </si>
  <si>
    <t>珠海市金湾区金海岸金凤路 6 号</t>
  </si>
  <si>
    <t>独立学院已转设 / [A官网核实]</t>
  </si>
  <si>
    <t>广东科学技术职业学院</t>
  </si>
  <si>
    <t>金湾区琴海东路 28 号</t>
  </si>
  <si>
    <t>广东科学技术职业学院珠海校区</t>
  </si>
  <si>
    <t>珠海市金湾区琴海东路 1 号</t>
  </si>
  <si>
    <t>[电竞] 动漫制作技术/数字媒体技术(含游戏方向);原因:公办专科分校 / [A官网核实]</t>
  </si>
  <si>
    <t>珠海科技学院</t>
  </si>
  <si>
    <t>金湾区金海岸大道东 8 号</t>
  </si>
  <si>
    <t>民办本科(原吉林大学珠海)</t>
  </si>
  <si>
    <t>肇庆</t>
  </si>
  <si>
    <t>端州区</t>
  </si>
  <si>
    <t>肇庆学院</t>
  </si>
  <si>
    <t>肇庆市端州区肇庆大道东岗 526 号</t>
  </si>
  <si>
    <t>茂名</t>
  </si>
  <si>
    <t>茂南区</t>
  </si>
  <si>
    <t>广东石油化工学院</t>
  </si>
  <si>
    <t>茂名市茂南区官渡二路 139 号</t>
  </si>
  <si>
    <t>公办工科 / [A官网核实]</t>
  </si>
  <si>
    <t>韶关</t>
  </si>
  <si>
    <t>浈江区</t>
  </si>
  <si>
    <t>韶关学院</t>
  </si>
  <si>
    <t>大塘路 288 号</t>
  </si>
  <si>
    <t>公办综合</t>
  </si>
  <si>
    <t>寮步镇</t>
  </si>
  <si>
    <t>本B</t>
  </si>
  <si>
    <t>东莞城市学院</t>
  </si>
  <si>
    <t>东莞市寮步镇松山湖大道 251 号</t>
  </si>
  <si>
    <t>首轮B</t>
  </si>
  <si>
    <t>民办本科 / [A官网核实]</t>
  </si>
  <si>
    <t>广东科技学院</t>
  </si>
  <si>
    <t>学院路 99 号</t>
  </si>
  <si>
    <t>民办本科</t>
  </si>
  <si>
    <t>花都区</t>
  </si>
  <si>
    <t>华南农业大学珠江学院</t>
  </si>
  <si>
    <t>学府路 1 号</t>
  </si>
  <si>
    <t>独立学院</t>
  </si>
  <si>
    <t>增城区</t>
  </si>
  <si>
    <t>广州华商学院</t>
  </si>
  <si>
    <t>广州华立学院</t>
  </si>
  <si>
    <t>华立路 1 号</t>
  </si>
  <si>
    <t>[电竞] 数字媒体技术专业,有游戏方向;原因:民办本科</t>
  </si>
  <si>
    <t>广州城市理工学院</t>
  </si>
  <si>
    <t>民办本科(原华工广州学院)</t>
  </si>
  <si>
    <t>广州大学华软软件学院</t>
  </si>
  <si>
    <t>广州市从化区温泉镇麒麟大道 1 号</t>
  </si>
  <si>
    <t>独立学院 / [A官网核实]</t>
  </si>
  <si>
    <t>广州工商学院</t>
  </si>
  <si>
    <t>市广路 1 号</t>
  </si>
  <si>
    <t>广州应用科技学院</t>
  </si>
  <si>
    <t>广州市增城区荔城街道金竹大道东 18 号</t>
  </si>
  <si>
    <t>新会区</t>
  </si>
  <si>
    <t>广东南方职业学院</t>
  </si>
  <si>
    <t>江门市江海区高新路 1 号</t>
  </si>
  <si>
    <t>[电竞] 电子竞技运动与管理专业;原因:民办专科本科 / [A官网核实]</t>
  </si>
  <si>
    <t>深圳职业技术大学龙岗校区</t>
  </si>
  <si>
    <t>深圳市龙岗区龙翔大道 7098 号</t>
  </si>
  <si>
    <t>职业本科分校 / [A官网核实]</t>
  </si>
  <si>
    <t>南城区</t>
  </si>
  <si>
    <t>专A</t>
  </si>
  <si>
    <t>东莞职业技术学院</t>
  </si>
  <si>
    <t>塘厦镇</t>
  </si>
  <si>
    <t>广东创新科技职业学院</t>
  </si>
  <si>
    <t>东莞市塘厦镇环城南路 1 号</t>
  </si>
  <si>
    <t>民办专科 / [A官网核实]</t>
  </si>
  <si>
    <t>凤岗镇</t>
  </si>
  <si>
    <t>广东酒店管理职业技术学院</t>
  </si>
  <si>
    <t>东莞市厚街镇东风中路 348 号</t>
  </si>
  <si>
    <t>三乡镇</t>
  </si>
  <si>
    <t>中山职业技术学院</t>
  </si>
  <si>
    <t>博爱七路 25 号</t>
  </si>
  <si>
    <t>三角镇</t>
  </si>
  <si>
    <t>广东岭南职业技术学院中山校区</t>
  </si>
  <si>
    <t>中山市三角镇三角镇</t>
  </si>
  <si>
    <t>民办分校 / [B公开口径]（公开校区位置,门牌号待主理人现场核对）</t>
  </si>
  <si>
    <t>南朗镇</t>
  </si>
  <si>
    <t>广东理工学院中山校区</t>
  </si>
  <si>
    <t>中山市南朗镇(校区暂未公开,以南朗镇行政中心为协议送达地)</t>
  </si>
  <si>
    <t>民办分校 / [C规划/筹建/分校]</t>
  </si>
  <si>
    <t>云浮</t>
  </si>
  <si>
    <t>罗定市</t>
  </si>
  <si>
    <t>罗定职业技术学院</t>
  </si>
  <si>
    <t>云浮市罗定市西区路 1 号</t>
  </si>
  <si>
    <t>佛山</t>
  </si>
  <si>
    <t>南海区</t>
  </si>
  <si>
    <t>广东职业技术学院南海校区</t>
  </si>
  <si>
    <t>佛山市南海区(校区暂未公开,以南海区行政中心为协议送达地)</t>
  </si>
  <si>
    <t>公办分校 / [C规划/筹建/分校]</t>
  </si>
  <si>
    <t>顺德区</t>
  </si>
  <si>
    <t>顺德职业技术学院</t>
  </si>
  <si>
    <t>佛山市顺德区大良德胜东路 9 号</t>
  </si>
  <si>
    <t>全国百强专科 / [A官网核实]</t>
  </si>
  <si>
    <t>广东交通职业技术学院</t>
  </si>
  <si>
    <t>天源路 789 号</t>
  </si>
  <si>
    <t>男生 65%</t>
  </si>
  <si>
    <t>广东体育职业技术学院</t>
  </si>
  <si>
    <t>广州市天河区天源路 1268 号</t>
  </si>
  <si>
    <t>体育生 / [A官网核实]</t>
  </si>
  <si>
    <t>广东农工商职业技术学院</t>
  </si>
  <si>
    <t>粤垦路 198 号</t>
  </si>
  <si>
    <t>广东南华工商职业学院</t>
  </si>
  <si>
    <t>黄埔大道东 388 号</t>
  </si>
  <si>
    <t>黄埔区</t>
  </si>
  <si>
    <t>广东岭南职业技术学院</t>
  </si>
  <si>
    <t>广州市天河区东圃镇广汕一路 463 号</t>
  </si>
  <si>
    <t>广东工程职业技术学院</t>
  </si>
  <si>
    <t>白云区龙归镇龙岗路 89 号</t>
  </si>
  <si>
    <t>公办专科 (开设动漫制作技术专业,电竞潜力校)</t>
  </si>
  <si>
    <t>广东工贸职业技术学院</t>
  </si>
  <si>
    <t>广汕一路 5 号</t>
  </si>
  <si>
    <t>公办工科</t>
  </si>
  <si>
    <t>广东建设职业技术学院</t>
  </si>
  <si>
    <t>瘦狗岭路 1 号</t>
  </si>
  <si>
    <t>工科建筑</t>
  </si>
  <si>
    <t>广东文艺职业学院新校区</t>
  </si>
  <si>
    <t>广州市白云区(校区暂未公开,以白云区行政中心为协议送达地)</t>
  </si>
  <si>
    <t>艺术类 / [C规划/筹建/分校]</t>
  </si>
  <si>
    <t>艺术类</t>
  </si>
  <si>
    <t>广东水利电力职业技术学院</t>
  </si>
  <si>
    <t>广园中路 122 号</t>
  </si>
  <si>
    <t>工科男生多</t>
  </si>
  <si>
    <t>广东职业技术学院</t>
  </si>
  <si>
    <t>广州市番禺区桥南街南郊路 22 号</t>
  </si>
  <si>
    <t>广东行政职业学院</t>
  </si>
  <si>
    <t>白云大道 1038 号</t>
  </si>
  <si>
    <t>广州城市职业学院</t>
  </si>
  <si>
    <t>广园中路 248 号</t>
  </si>
  <si>
    <t>广州民航职业技术学院</t>
  </si>
  <si>
    <t>机场路 向云西街 18 号</t>
  </si>
  <si>
    <t>民航系</t>
  </si>
  <si>
    <t>广州番禺职业技术学院增城校区</t>
  </si>
  <si>
    <t>广州市增城区(校区暂未公开,以增城区行政中心为协议送达地)</t>
  </si>
  <si>
    <t>广州科技职业技术大学</t>
  </si>
  <si>
    <t>广州市黄埔区中新镇</t>
  </si>
  <si>
    <t>职业本科 / [B公开口径]（公开校区位置,门牌号待主理人现场核对）</t>
  </si>
  <si>
    <t>广州科技贸易职业学院</t>
  </si>
  <si>
    <t>南村镇兴业大道东 1 号</t>
  </si>
  <si>
    <t>广州铁路职业技术学院</t>
  </si>
  <si>
    <t>天源路 1958 号</t>
  </si>
  <si>
    <t>铁路男生多</t>
  </si>
  <si>
    <t>仲恺区</t>
  </si>
  <si>
    <t>惠州城市职业学院</t>
  </si>
  <si>
    <t>惠州市仲恺区陈塘镇</t>
  </si>
  <si>
    <t>公办专科 / [B公开口径]（公开校区位置,门牌号待主理人现场核对）</t>
  </si>
  <si>
    <t>梅县区</t>
  </si>
  <si>
    <t>梅州职业技术学院</t>
  </si>
  <si>
    <t>梅州市梅县区扶大高新区程江大道 1 号</t>
  </si>
  <si>
    <t>汕头职业技术学院</t>
  </si>
  <si>
    <t>汕头市金平区杏花村</t>
  </si>
  <si>
    <t>城区</t>
  </si>
  <si>
    <t>汕尾职业技术学院</t>
  </si>
  <si>
    <t>汕尾市城区海滨大道中 1 号</t>
  </si>
  <si>
    <t>鹤山市</t>
  </si>
  <si>
    <t>江门职业技术学院</t>
  </si>
  <si>
    <t>江门市江海区建设三路 822 号</t>
  </si>
  <si>
    <t>深圳信息职业技术学院</t>
  </si>
  <si>
    <t>西丽留仙大道</t>
  </si>
  <si>
    <t>IT 属性强</t>
  </si>
  <si>
    <t>光明区</t>
  </si>
  <si>
    <t>深圳职业技术学院光明校区</t>
  </si>
  <si>
    <t>深圳市光明区光明大道</t>
  </si>
  <si>
    <t>公办分校 / [B公开口径]（公开校区位置,门牌号待主理人现场核对）</t>
  </si>
  <si>
    <t>深圳鹏城职业学院</t>
  </si>
  <si>
    <t>深圳市龙岗区龙岗大道 8288 号</t>
  </si>
  <si>
    <t>清远</t>
  </si>
  <si>
    <t>清城区</t>
  </si>
  <si>
    <t>广东南华工商职业学院清远校区</t>
  </si>
  <si>
    <t>清远市清城区(校区暂未公开,以清城区行政中心为协议送达地)</t>
  </si>
  <si>
    <t>广东建设职业技术学院清远校区</t>
  </si>
  <si>
    <t>清远职业技术学院</t>
  </si>
  <si>
    <t>蟠龙路 12 号</t>
  </si>
  <si>
    <t>广东文理职业学院</t>
  </si>
  <si>
    <t>湛江市麻章区湖光农场学院路 1 号</t>
  </si>
  <si>
    <t>[电竞] 电子竞技运动与管理专业;原因:民办专科 / [A官网核实]</t>
  </si>
  <si>
    <t>经开区</t>
  </si>
  <si>
    <t>湛江科技学院</t>
  </si>
  <si>
    <t>麻斜路 1 号</t>
  </si>
  <si>
    <t>民办本科(原广东海洋寸金)</t>
  </si>
  <si>
    <t>珠海城市职业技术学院</t>
  </si>
  <si>
    <t>金湾区飞翔南路 5 号</t>
  </si>
  <si>
    <t>鼎湖区</t>
  </si>
  <si>
    <t>广东工商职业技术大学</t>
  </si>
  <si>
    <t>肇庆市端州区西江北路 188 号</t>
  </si>
  <si>
    <t>职业本科 / [A官网核实]</t>
  </si>
  <si>
    <t>高要区</t>
  </si>
  <si>
    <t>广东工商职业技术大学西江校区</t>
  </si>
  <si>
    <t>肇庆市高要区(校区暂未公开,以高要区行政中心为协议送达地)</t>
  </si>
  <si>
    <t>职业本科 / [C规划/筹建/分校]</t>
  </si>
  <si>
    <t>电白区</t>
  </si>
  <si>
    <t>广东茂名农林科技职业学院</t>
  </si>
  <si>
    <t>茂名市电白区电白区</t>
  </si>
  <si>
    <t>茂名职业技术学院</t>
  </si>
  <si>
    <t>茂名市茂南区公馆镇文化路 9 号</t>
  </si>
  <si>
    <t>阳江</t>
  </si>
  <si>
    <t>江城区</t>
  </si>
  <si>
    <t>广东省阳江职业技术学院新校区</t>
  </si>
  <si>
    <t>阳江市江城区海陵大堤</t>
  </si>
  <si>
    <t>阳江职业技术学院</t>
  </si>
  <si>
    <t>罗琴路 1 号</t>
  </si>
  <si>
    <t>武江区</t>
  </si>
  <si>
    <t>广东松山职业技术学院</t>
  </si>
  <si>
    <t>韶关市武江区韶州大道 99 号</t>
  </si>
  <si>
    <t>专B</t>
  </si>
  <si>
    <t>广东岭南职业技术学院广州校区</t>
  </si>
  <si>
    <t>广州市黄埔区黄埔区</t>
  </si>
  <si>
    <t>广东科技学院专科部</t>
  </si>
  <si>
    <t>民办专科 / [C规划/筹建/分校]</t>
  </si>
  <si>
    <t>广州东华职业学院</t>
  </si>
  <si>
    <t>广州市从化区江埔街从城大道 1038 号</t>
  </si>
  <si>
    <t>广州华夏职业学院</t>
  </si>
  <si>
    <t>广州市从化区江埔街从城大道 855 号</t>
  </si>
  <si>
    <t>广州南方学院专科部</t>
  </si>
  <si>
    <t>广州市黄埔区(校区暂未公开,以黄埔区行政中心为协议送达地)</t>
  </si>
  <si>
    <t>广州城建职业学院</t>
  </si>
  <si>
    <t>教育路 1 号</t>
  </si>
  <si>
    <t>民办专科</t>
  </si>
  <si>
    <t>广州工商职业技术学院</t>
  </si>
  <si>
    <t>广花二路 5 号</t>
  </si>
  <si>
    <t>广州康大职业技术学院</t>
  </si>
  <si>
    <t>广州市黄埔区九龙镇知识城新南路 7 号</t>
  </si>
  <si>
    <t>宝安区</t>
  </si>
  <si>
    <t>深圳信息工程职业学院</t>
  </si>
  <si>
    <t>深圳市龙岗区龙翔大道 2188 号</t>
  </si>
  <si>
    <t>从化区</t>
  </si>
  <si>
    <t>广州软件学院</t>
  </si>
  <si>
    <t>广州市从化区温泉镇环园中路 1 号</t>
  </si>
  <si>
    <t>首轮C</t>
  </si>
  <si>
    <t>[电竞] 数字媒体技术(游戏开发方向);原因:民办IT本科 / [A官网核实] / [活动]2025-05 广州·从化校区 腾讯游戏开发训练营 &amp; 校园电竞文化节</t>
  </si>
  <si>
    <t>深圳信息职业技术学院本科部</t>
  </si>
  <si>
    <t>[电竞] 动漫制作技术/数字媒体技术,腾讯产业学院共建;原因:职业本科</t>
  </si>
  <si>
    <t>广东轻工职业技术学院</t>
  </si>
  <si>
    <t>新港西路 152 号</t>
  </si>
  <si>
    <t>[电竞] 动漫制作技术/数字媒体技术专业;原因:全国百强专科 / [活动]2025-04 广州·新港西校区 广轻动漫游戏文化节(动漫制作技术专业承办)</t>
  </si>
  <si>
    <t>广州番禺职业技术学院</t>
  </si>
  <si>
    <t>市良路 1342 号</t>
  </si>
  <si>
    <t>[电竞] 游戏艺术设计/数字媒体技术专业;原因:公办专科 / [活动]2025-05 广州·番禺校区 番职院游戏艺术设计专业作品展+校园电竞表演赛</t>
  </si>
  <si>
    <t>罗湖区</t>
  </si>
  <si>
    <t>广州体育职业技术学院深圳分院</t>
  </si>
  <si>
    <t>深圳市罗湖区(校区暂未公开,以罗湖区行政中心为协议送达地)</t>
  </si>
  <si>
    <t>[电竞] 电子竞技运动与管理专业(体育大类);原因:体育分校 / [C规划/筹建/分校]</t>
  </si>
  <si>
    <t>深圳职业技术大学</t>
  </si>
  <si>
    <t>西丽湖路 7098 号</t>
  </si>
  <si>
    <t>[电竞] 数字媒体技术/游戏艺术设计专业;原因:全国第一专科(已升本) / [活动]2025-04 深圳·西丽校区 深职大电竞文化节(全国职业院校电竞邀请赛主场之一)</t>
  </si>
  <si>
    <t>广东信息工程职业学院</t>
  </si>
  <si>
    <t>肇庆市高要区南岸街道科技路 16 号</t>
  </si>
  <si>
    <t>广州涉外经济职业技术学院</t>
  </si>
  <si>
    <t>广州市天河区柯木塱大丰路 9 号</t>
  </si>
  <si>
    <t>广州现代信息工程职业技术学院</t>
  </si>
  <si>
    <t>广州市天河区珠吉街吉山新庆路 8 号</t>
  </si>
  <si>
    <t>广州珠江职业技术学院</t>
  </si>
  <si>
    <t>广州市番禺区石碁镇</t>
  </si>
  <si>
    <t>[电竞] 电子竞技运动与管理专业;原因:民办专科 / [B公开口径]（公开校区位置,门牌号待主理人现场核对）</t>
  </si>
  <si>
    <t>南方医科大学</t>
  </si>
  <si>
    <t>广州大道北 1838 号</t>
  </si>
  <si>
    <t>备选</t>
  </si>
  <si>
    <t>医药类审批严</t>
  </si>
  <si>
    <t>广州中医药大学</t>
  </si>
  <si>
    <t>广州大学城外环东路 232 号</t>
  </si>
  <si>
    <t>香港中文大学(深圳)</t>
  </si>
  <si>
    <t>国立路 2001 号</t>
  </si>
  <si>
    <t>中外合办</t>
  </si>
  <si>
    <t>香港城市大学(东莞)</t>
  </si>
  <si>
    <t>东莞市松山湖高新区新城大道 1 号</t>
  </si>
  <si>
    <t>中外合办 / [A官网核实]</t>
  </si>
  <si>
    <t>广东药科大学</t>
  </si>
  <si>
    <t>中山二路 280 号</t>
  </si>
  <si>
    <t>医药类</t>
  </si>
  <si>
    <t>广州医科大学</t>
  </si>
  <si>
    <t>新造镇广州大学城</t>
  </si>
  <si>
    <t>坪山区</t>
  </si>
  <si>
    <t>深圳北理莫斯科大学</t>
  </si>
  <si>
    <t>深圳市龙岗区国际大学园路 1 号</t>
  </si>
  <si>
    <t>霞山区</t>
  </si>
  <si>
    <t>广东医科大学</t>
  </si>
  <si>
    <t>文明东路 2 号</t>
  </si>
  <si>
    <t>遵义医科大学珠海校区</t>
  </si>
  <si>
    <t>珠海市金湾区(校区暂未公开,以金湾区行政中心为协议送达地)</t>
  </si>
  <si>
    <t>医药类异地校区 / [C规划/筹建/分校]</t>
  </si>
  <si>
    <t>韶关学院医学院</t>
  </si>
  <si>
    <t>韶关市浈江区(校区暂未公开,以浈江区行政中心为协议送达地)</t>
  </si>
  <si>
    <t>医药类二级学院 / [C规划/筹建/分校]</t>
  </si>
  <si>
    <t>麻涌镇</t>
  </si>
  <si>
    <t>广东医科大学(东莞校区)</t>
  </si>
  <si>
    <t>东莞市松山湖科技产业园区新城大道 1 号</t>
  </si>
  <si>
    <t>医药类异地校区 / [A官网核实]</t>
  </si>
  <si>
    <t>南沙区</t>
  </si>
  <si>
    <t>香港科技大学(广州)</t>
  </si>
  <si>
    <t>广州市南沙区庆盛枢纽区块香山路 1 号</t>
  </si>
  <si>
    <t>中外/特别行政区合办 / [A官网核实]</t>
  </si>
  <si>
    <t>龙湖区</t>
  </si>
  <si>
    <t>广东以色列理工学院</t>
  </si>
  <si>
    <t>大学路 241 号</t>
  </si>
  <si>
    <t>云城区</t>
  </si>
  <si>
    <t>云浮中医药职业技术学院</t>
  </si>
  <si>
    <t>云浮市云城区罗定市</t>
  </si>
  <si>
    <t>卫生类 / [B公开口径]（公开校区位置,门牌号待主理人现场核对）</t>
  </si>
  <si>
    <t>广东省外语艺术职业学院</t>
  </si>
  <si>
    <t>天平架燕岭路 495 号</t>
  </si>
  <si>
    <t>艺术类但有外语方向 (开设动漫设计专业,电竞潜力校)</t>
  </si>
  <si>
    <t>湛江幼儿师范专科学校</t>
  </si>
  <si>
    <t>湛江市麻章区学海路 1 号</t>
  </si>
  <si>
    <t>幼师女生多 / [A官网核实]</t>
  </si>
  <si>
    <t>幼师女生多(分校) / [A官网核实]</t>
  </si>
  <si>
    <t>广东潮州卫生健康职业学院</t>
  </si>
  <si>
    <t>潮州市湘桥区凤新街道凤山路 1 号</t>
  </si>
  <si>
    <t>卫生类 / [A官网核实]</t>
  </si>
  <si>
    <t>肇庆医学高等专科学校</t>
  </si>
  <si>
    <t>肇庆市端州区端州五路 9 号</t>
  </si>
  <si>
    <t>广东茂名健康职业学院</t>
  </si>
  <si>
    <t>茂名市高州市潘州大道东 88 号</t>
  </si>
  <si>
    <t>广东茂名幼儿师范专科学校</t>
  </si>
  <si>
    <t>茂名市茂南区西粤北路 33 号</t>
  </si>
  <si>
    <t>广东茂名幼儿师范专科学校电白校区</t>
  </si>
  <si>
    <t>茂名市电白区(校区暂未公开,以电白区行政中心为协议送达地)</t>
  </si>
  <si>
    <t>幼师分校 / [C规划/筹建/分校]</t>
  </si>
  <si>
    <t>大湾区大学(筹)</t>
  </si>
  <si>
    <t>东莞市松山湖高新技术产业开发区(规划中,以松山湖管委会为协议送达地)</t>
  </si>
  <si>
    <t>不进入</t>
  </si>
  <si>
    <t>筹建中未招生 / [C规划/筹建/分校]</t>
  </si>
  <si>
    <t>特殊办学</t>
  </si>
  <si>
    <t>禅城区</t>
  </si>
  <si>
    <t>佛山大学</t>
  </si>
  <si>
    <t>江湾一路 18 号</t>
  </si>
  <si>
    <t>公办综合本科</t>
  </si>
  <si>
    <t>中国人民解放军南方军事学院</t>
  </si>
  <si>
    <t>军委直属 / [C规划/筹建/分校]</t>
  </si>
  <si>
    <t>军校</t>
  </si>
  <si>
    <t>南部战区总医院附属学院</t>
  </si>
  <si>
    <t>广州市天河区(校区暂未公开,以天河区行政中心为协议送达地)</t>
  </si>
  <si>
    <t>军队系统 / [C规划/筹建/分校]</t>
  </si>
  <si>
    <t>广东省委党校</t>
  </si>
  <si>
    <t>广州市海珠区(校区暂未公开,以海珠区行政中心为协议送达地)</t>
  </si>
  <si>
    <t>党校非普通高校 / [C规划/筹建/分校]</t>
  </si>
  <si>
    <t>广东警官学院</t>
  </si>
  <si>
    <t>滨江东路 213 号</t>
  </si>
  <si>
    <t>公安系统直属</t>
  </si>
  <si>
    <t>警校</t>
  </si>
  <si>
    <t>广州美术学院</t>
  </si>
  <si>
    <t>昌岗东路 257 号</t>
  </si>
  <si>
    <t>艺术类男生少+小体量</t>
  </si>
  <si>
    <t>星海音乐学院</t>
  </si>
  <si>
    <t>新港中路 481 号</t>
  </si>
  <si>
    <t>音乐类男生少+小体量</t>
  </si>
  <si>
    <t>吉林大学珠海学院</t>
  </si>
  <si>
    <t>珠海市金湾区草堂湾 1 号</t>
  </si>
  <si>
    <t>已停止招生 / [A官网核实]</t>
  </si>
  <si>
    <t>已停招</t>
  </si>
  <si>
    <t>厚街镇</t>
  </si>
  <si>
    <t>广东亚视演艺职业学院东莞</t>
  </si>
  <si>
    <t>东莞市厚街镇厚街</t>
  </si>
  <si>
    <t>艺术类 / [B公开口径]（公开校区位置,门牌号待主理人现场核对）</t>
  </si>
  <si>
    <t>佛山职业技术学院</t>
  </si>
  <si>
    <t>佛山市禅城区罗村街道科技东路 1 号</t>
  </si>
  <si>
    <t>广东司法警官职业学院</t>
  </si>
  <si>
    <t>白云大道北 2025 号</t>
  </si>
  <si>
    <t>司法系统</t>
  </si>
  <si>
    <t>广东文艺职业学院</t>
  </si>
  <si>
    <t>新港中路 348 号</t>
  </si>
  <si>
    <t>艺术类男生比低 (开设数字媒体艺术设计专业,电竞潜力校)</t>
  </si>
  <si>
    <t>广东舞蹈戏剧职业学院</t>
  </si>
  <si>
    <t>广州市番禺区新造镇广州大学城外环西路 248 号</t>
  </si>
  <si>
    <t>艺术类极小体量 / [A官网核实]</t>
  </si>
  <si>
    <t>梅州市梅州职业技术学校</t>
  </si>
  <si>
    <t>梅州市梅江区(校区暂未公开,以梅江区行政中心为协议送达地)</t>
  </si>
  <si>
    <t>中职非高校 / [C规划/筹建/分校]</t>
  </si>
  <si>
    <t>中堂镇</t>
  </si>
  <si>
    <t>东莞市中堂镇(校区暂未公开,以中堂镇行政中心为协议送达地)</t>
  </si>
  <si>
    <t>艺术类极小 / [C规划/筹建/分校]</t>
  </si>
  <si>
    <t>广东南方职业学院佛山校区</t>
  </si>
  <si>
    <t>佛山市南海区狮山镇博爱东路 1 号</t>
  </si>
  <si>
    <t>民办专科 / [B公开口径]</t>
  </si>
  <si>
    <t>广东亚视演艺职业学院</t>
  </si>
  <si>
    <t>广州市番禺区新造镇北斗村亚视路 1 号</t>
  </si>
  <si>
    <t>[电竞] 国内最早开设电子竞技运动与管理专业的民办高职之一;原因:艺术类+极小体量 / [A官网核实]</t>
  </si>
  <si>
    <t>广州花都通用职业技术学校</t>
  </si>
  <si>
    <t>广州市花都区花都区</t>
  </si>
  <si>
    <t>技师学院 / [B公开口径]（公开校区位置,门牌号待主理人现场核对）</t>
  </si>
  <si>
    <t>今年水平&amp;明年水平，明确可衡量的数据和行为，并确认做这个事情的目的和好处</t>
  </si>
  <si>
    <t>今年拆Q3-Q4的每个月份需要完成什么</t>
  </si>
  <si>
    <t>明年H1-H2完成什么</t>
  </si>
  <si>
    <t>需要多少人力、需要多少预算</t>
  </si>
  <si>
    <t>这些人力和钱的原理</t>
  </si>
  <si>
    <t>需提前确认的可行性事项，避免无法推进</t>
  </si>
  <si>
    <t>一、阶段目标：暑期-开学季完成3~4个重点省份（广东、湖南、四川、江苏、湖北）150家高校的游戏+AI进校园模式落地，顺利完成合作产品的资源置换&amp;社团模式的探索，以资源增量利润抵资源搭建成本</t>
  </si>
  <si>
    <t>1).完成首轮的资源搭建&amp;高校开学季资源落地，阶段目标如下</t>
  </si>
  <si>
    <t>1).以省份负责人-片区主理人-学校主理人模式，完成150所高校（80%为游戏目标高校、20%为AI高校）的建联：完成主理人认证，以合适的条件可实际完成入校园落地</t>
  </si>
  <si>
    <t>2).开学季以双模式——线上&amp;线下资源曝光+深度活动合作，针对不同校园政策匹配不同产品。为游戏落地百家校园，AI落地30+校园</t>
  </si>
  <si>
    <t>3).与头部游戏（王者、和平）做资源置换，以校园合作置换相关资源，置换至少1个月相关资源位（营地、和平端内），预计60万利润</t>
  </si>
  <si>
    <t>- 26年愿景，该5个省份均完成落地且完成超200家高校的建联，并完成相关社团激励机制，可进一步快速拓展到其他次重点2~3个省份，累计100家校园，并可在春开落地。</t>
  </si>
  <si>
    <t>2).探索TPD社团组建：辅以固定奖励，激励奖励&amp;身份认可，对不同阶段的主理人做阶段性激励，鼓励其拓展校园资源</t>
  </si>
  <si>
    <t>1).校园主理人：校园资源最小单位，负责1~2个学校的产品宣推和深入活动支持，需完成高校认证，单学校可有多个主理人</t>
  </si>
  <si>
    <t>2).片区主理人：（通过分享）完成3家不同学校的主理人引入。</t>
  </si>
  <si>
    <t>①单学生身份：10家以内的学校主理人搭建，经主理人活动激励进行校园宣推&amp;活动</t>
  </si>
  <si>
    <t>②项目实习生身份：大于10家的学校主理人搭建，每季度可完成80%的校园内产品曝光宣推&amp;50%的产品活动宣推，按数量加权排序给予项目实习生机会</t>
  </si>
  <si>
    <t>③28届实习生身份：由负责人/项目实习生自荐，满足面试情况&amp;相关条件的可给予28届实习生机会</t>
  </si>
  <si>
    <t>3).省份负责人：由腾讯应届实习/员工直接负责，负责单个或多个省份的校园资源整体统筹管理，对片区/学校主理人数量直接负责</t>
  </si>
  <si>
    <t>二、首阶段的目标制定、目标逻辑和里程碑预期</t>
  </si>
  <si>
    <t>1).资源&amp;利润目标：资源置换可获60万额外利润，考虑其中的xx%可投入至本轮校园搭建合作中</t>
  </si>
  <si>
    <t>①资源目标：完成5~6个主理人搭建，150所学校建联，并于9月开启开学季入校园活动</t>
  </si>
  <si>
    <t>Ⅰ.【6月】围绕省份负责人-&gt;片区主理人-&gt;学校主理人-&gt;活动落地，引导现实习生从片区主理人入手，以广东优先落地并完成其从片区-&gt;省份负责人的转变</t>
  </si>
  <si>
    <t>Ⅱ.【7月】推动首波实习拓展其他2~3个省份，并辅以28届实习生&amp;项目实习生作为片区主理人协助，完成其他的2~3个的省份落地</t>
  </si>
  <si>
    <t>Ⅲ.【7&amp;8月】筹备&amp;落实开学季活动，确认校园合作条件，敲定合作，确认落地时间&amp;清单</t>
  </si>
  <si>
    <t>Ⅳ.【9&amp;10月】开学季-入校园AI&amp;游戏活动爆发，并同步完成省份负责人&amp;片区主理人的人员&amp;激励政策固定</t>
  </si>
  <si>
    <t>②利润目标：与头部游戏达成资源置换合作，带来额外135万uv、4万订购，为部门带来额外60万利润</t>
  </si>
  <si>
    <t>Ⅰ.【6月】完成核心游戏的合作动员（王者、和平），完成资源置换明细协商，确认双方预期并明确落地时间</t>
  </si>
  <si>
    <t>Ⅱ.【6&amp;7月】确定入校园合作模式，确认不同类型入校园规格（一般为轻度的纯宣传&amp;重度的线下活动落地）的活动方案，并与各方沟通可行性</t>
  </si>
  <si>
    <t>Ⅲ.【7&amp;8月】同步进行入校园筹备&amp;前期准备工作</t>
  </si>
  <si>
    <t>Ⅳ.【9&amp;10月】开学季-入校园游戏活动爆发，同步开启资源置换合作</t>
  </si>
  <si>
    <t>2).关键事项拆解&amp;各核心里程碑</t>
  </si>
  <si>
    <t>①校园资源搭建:以阶梯式对校园资源进行搭建管理，单省份以1名负责人+2~3名片区主理人进行校园关系搭建。</t>
  </si>
  <si>
    <t>- 省份负责人：主理人培养+部分零散片区的10~15所校园关系搭建，并对该省份的重点高意愿学校做重点维护&amp;落地推进</t>
  </si>
  <si>
    <t>- 区域主理人：负责核心2~3个城市的30~40所校园关系搭建</t>
  </si>
  <si>
    <t>- 关系搭建：找到可落地的学校主理人人，并确认落地条件&amp;落地规模的初步信息</t>
  </si>
  <si>
    <t>Ⅰ.【6月-完成广东起步&amp;模式搭建】上旬以广东作为合作起点，培养现有应届实习从片区主理人-&gt;省份负责人，同步开启重点省份的片区主理人招聘并对后续重点省份进行摸索，并确认社团激励模式，从而可在下旬完成广东30~40所学校的建联搭建&amp;应届实习生可在此时转向其他省份</t>
  </si>
  <si>
    <t>Ⅱ.【7月-拓展省份&amp;确认合作意向】上旬以另外2~3个省份，推动省份负责人（应届实习）&amp;片区主理人（28届/项目实习生）各自完成相关的校园关系搭建，单省份预期完成70~80所学校的建联，并同步完成开学季的合作落地，下旬完成开学季可合作校园的意向确认</t>
  </si>
  <si>
    <t>Ⅲ.【8月-完善资源库】转向落地筹备，资源侧逐步额外拓展现有省份的合作校园池子，落地时间可放宽到9月中下旬~10月</t>
  </si>
  <si>
    <t>②游戏资源置换：以校园及相关衍生的线上、线下资源，与游戏侧约定置换预期&amp;置换规模，并完成落地</t>
  </si>
  <si>
    <t>Ⅰ.【6月-确认意向】确定合作的初步预期&amp;资源置换诉求，并该合作下项目方可提供的其他资源</t>
  </si>
  <si>
    <t>Ⅱ.【7月-开启预热&amp;校园社区搭建】基于合作模式&amp;建联后的反馈情况，与游戏做最终的落地信息确认，并推动置换资源落地</t>
  </si>
  <si>
    <t>Ⅲ.【7月-修正方案&amp;置换落地】基于合作模式&amp;建联后的反馈情况，与游戏做最终的落地信息确认，并推动置换资源落地</t>
  </si>
  <si>
    <t>③赞助方支持</t>
  </si>
  <si>
    <t>Ⅰ.【6月-缕清模式】确认赞助的落地模式，确认赞助方预算范围&amp;量化赞助条件，梳理对赞助双方均合理可推进的赞助约定方式</t>
  </si>
  <si>
    <t>Ⅱ.【7月-匹配诉求&amp;敲定落地】同步&amp;逐步敲定与校园诉求方启动相关赞助协商，确保每轮合作的成功落地</t>
  </si>
  <si>
    <t>④开学季校园落地模式</t>
  </si>
  <si>
    <t>Ⅰ.【6月-沟通确认初步方案】与游戏意向确认后共同确认该部分合作的活动方案（分曝光类&amp;线下落地类）</t>
  </si>
  <si>
    <t>Ⅱ.【6&amp;7月-确认是否可以以校园主理人认证举办相关比赛】类和平的高校主理人机制，认证后完成相关任务（校内赛事、宣传）解锁/延续特权</t>
  </si>
  <si>
    <t>Ⅲ.【7月-修正方案&amp;开启前期产品能力筹备】基于校园活动反馈修正活动方案并启动相关产品能力的落地</t>
  </si>
  <si>
    <t>3).目标产品&amp;省份</t>
  </si>
  <si>
    <t>①游戏产品针对王者、和平展开：有现成的高校体系可沿用</t>
  </si>
  <si>
    <t>- 有现有的商业化权益产品</t>
  </si>
  <si>
    <t>- 项目意愿足够，产品具一定规模</t>
  </si>
  <si>
    <t>- 过往开展过资源置换合作</t>
  </si>
  <si>
    <t>②AI产品针对Qclaw和Workbuddy展开</t>
  </si>
  <si>
    <t>③省份目标：广东、湖北、湖南、四川、江苏、河南、山东</t>
  </si>
  <si>
    <t>- 优先考虑前四省份，均有大量的电竞、游戏活动落地先例，后三属于高校&amp;人口大省，为重点省份之一</t>
  </si>
  <si>
    <t>广东（3）</t>
  </si>
  <si>
    <t>四川（5）</t>
  </si>
  <si>
    <t>湖北（7）</t>
  </si>
  <si>
    <t>湖南（6）</t>
  </si>
  <si>
    <t>江苏（2）</t>
  </si>
  <si>
    <t>河南（1）</t>
  </si>
  <si>
    <t>山东（4）</t>
  </si>
  <si>
    <t>可调整值</t>
  </si>
  <si>
    <t>高校数量</t>
  </si>
  <si>
    <t>本科</t>
  </si>
  <si>
    <t>专科</t>
  </si>
  <si>
    <t>高校人数（万人）</t>
  </si>
  <si>
    <t>高校手游渗透人数</t>
  </si>
  <si>
    <t>腾讯手游游玩人数</t>
  </si>
  <si>
    <t>腾讯某手游游玩人数</t>
  </si>
  <si>
    <t>该方案预期可覆盖高校数</t>
  </si>
  <si>
    <t>该方案预期覆盖高校人数</t>
  </si>
  <si>
    <t>该方案预期可转化高校人数</t>
  </si>
  <si>
    <t>所需区域主理人</t>
  </si>
  <si>
    <t>湖北</t>
  </si>
  <si>
    <t>江苏</t>
  </si>
  <si>
    <t>四川</t>
  </si>
  <si>
    <t>湖南</t>
  </si>
  <si>
    <t>山东</t>
  </si>
  <si>
    <t>河南</t>
  </si>
  <si>
    <t>七省合计</t>
  </si>
  <si>
    <t>三、各方投入一览</t>
  </si>
  <si>
    <t xml:space="preserve">                                          收获
 付出</t>
  </si>
  <si>
    <t>腾讯-游戏</t>
  </si>
  <si>
    <t>腾讯-TPD</t>
  </si>
  <si>
    <t>省份负责人/片区主理人</t>
  </si>
  <si>
    <t>校园-校园主理人</t>
  </si>
  <si>
    <t>运营商（或其他赞助方）</t>
  </si>
  <si>
    <t>1.权益资源位
2.如ip等相关授权</t>
  </si>
  <si>
    <t>1.社媒联合宣传
2.进校园噱头（道具、礼包、奖品）</t>
  </si>
  <si>
    <t>1.校园合作模式所需的人力物力
2.校园合作的部分推广费</t>
  </si>
  <si>
    <t>1.实习机会
2.直接的利益激励
3.腾讯相关资源背书（如腾讯滨海访问等）</t>
  </si>
  <si>
    <t>1.额外的校园资源合作模式</t>
  </si>
  <si>
    <t>/</t>
  </si>
  <si>
    <t>1.点到面的校园资源建联&amp;落地协助</t>
  </si>
  <si>
    <t>校园-主力历任</t>
  </si>
  <si>
    <t>1.线上、线下的校园资源</t>
  </si>
  <si>
    <t>1.合作所需的接洽、沟通</t>
  </si>
  <si>
    <t>1.校园资源的落地的活动预算</t>
  </si>
  <si>
    <t>四、首轮Timeline&amp;所需支持方</t>
  </si>
  <si>
    <t>1).人力诉求概况</t>
  </si>
  <si>
    <t>①省份的省份负责人：需3个运营或应届实习</t>
  </si>
  <si>
    <t>②片区负责人，每位掌握25~30家学校资源：需6个项目实习生或28届实习生</t>
  </si>
  <si>
    <t>③产品，负责相关机制的能力搭建&amp;活动支持：需1.5个产品人力，1~1.5个月时间</t>
  </si>
  <si>
    <t>④商务，协助完成赞助支持：需0.5个商务人力，1个月时间</t>
  </si>
  <si>
    <t>⑤研发，前后端，支持产品相关需求：1.5个前端和2个后台，1~1.5个月时间</t>
  </si>
  <si>
    <t>大类</t>
  </si>
  <si>
    <t>事项</t>
  </si>
  <si>
    <t>负责人</t>
  </si>
  <si>
    <t>需协助方</t>
  </si>
  <si>
    <t>6.1~6.5</t>
  </si>
  <si>
    <t>6.8~6.12</t>
  </si>
  <si>
    <t>6.15~6.19</t>
  </si>
  <si>
    <t>6.22~6.26</t>
  </si>
  <si>
    <t>6.29~6.30</t>
  </si>
  <si>
    <t>7.1~7.3</t>
  </si>
  <si>
    <t>7.6~7.10</t>
  </si>
  <si>
    <t>7.13~7.17</t>
  </si>
  <si>
    <t>7.20~7.24</t>
  </si>
  <si>
    <t>7.27~7.31</t>
  </si>
  <si>
    <t>8.3~8.7</t>
  </si>
  <si>
    <t>8.10~8.14</t>
  </si>
  <si>
    <t>8.17~8.21</t>
  </si>
  <si>
    <t>8.24~8.28</t>
  </si>
  <si>
    <t>校园资源搭建</t>
  </si>
  <si>
    <t>应届实习培训（主理人-&gt;负责人）</t>
  </si>
  <si>
    <t>俊杰</t>
  </si>
  <si>
    <t>各实习生导师，应届实习生，CK</t>
  </si>
  <si>
    <t>首个广东资源搭建</t>
  </si>
  <si>
    <t>敲定社团激励模式</t>
  </si>
  <si>
    <t>应届实习生</t>
  </si>
  <si>
    <t>28届/项目实习生（区域主理人）</t>
  </si>
  <si>
    <t>Nami、Zora</t>
  </si>
  <si>
    <t>第二个省份（待定）资源搭建</t>
  </si>
  <si>
    <t>相关实习生</t>
  </si>
  <si>
    <t>第三个省份（待定）资源搭建</t>
  </si>
  <si>
    <t>nami</t>
  </si>
  <si>
    <t>第四个省份（待定）资源搭建</t>
  </si>
  <si>
    <t>zora</t>
  </si>
  <si>
    <t>春开合作资源意向确认</t>
  </si>
  <si>
    <t>各自省份负责人</t>
  </si>
  <si>
    <t>游戏资源置换</t>
  </si>
  <si>
    <t>王者</t>
  </si>
  <si>
    <t>Zora</t>
  </si>
  <si>
    <t>和平</t>
  </si>
  <si>
    <t>赞助方支持</t>
  </si>
  <si>
    <t>模式梳理</t>
  </si>
  <si>
    <t>商务</t>
  </si>
  <si>
    <t>诉求匹配&amp;落地</t>
  </si>
  <si>
    <t>开学季落地</t>
  </si>
  <si>
    <t>活动相关能力</t>
  </si>
  <si>
    <t>产品</t>
  </si>
  <si>
    <t>意向匹配&amp;敲定</t>
  </si>
  <si>
    <t>运营</t>
  </si>
  <si>
    <t>合作模式分类&amp;筹备</t>
  </si>
  <si>
    <t>Checklist（准备期、上线期、回收期）</t>
  </si>
  <si>
    <t>正式落地</t>
  </si>
  <si>
    <t>五、首轮校园项目收支预算表</t>
  </si>
  <si>
    <t>1).按预期完成和平&amp;王者一个月的资源置换，预期可获得额外利润61万</t>
  </si>
  <si>
    <t>①和平精英26年2月春节通过移动资源位置换（若能持续一个月参考）</t>
  </si>
  <si>
    <t>渗透率提升
（活动曝光UV/DAU）</t>
  </si>
  <si>
    <t>UV提升预期</t>
  </si>
  <si>
    <t>转化率预期</t>
  </si>
  <si>
    <t>订购增量</t>
  </si>
  <si>
    <t>利润增量</t>
  </si>
  <si>
    <t>②王者营地25年6月资源位（若能持续一个月参考）</t>
  </si>
  <si>
    <t>2).额外成本涵盖用于落地&amp;社团维系的成本支出</t>
  </si>
  <si>
    <t>①搭建&amp;维系&amp;激励片区主理人&amp;校园主理人，并进一步组成的TPD-校园社团</t>
  </si>
  <si>
    <t>- 负责人和主理人以基础津贴（实习）、成长激励（项目实习生-&gt;28届实习生-&gt;应届实习生）、最终落地的KOL向激励活动三重激励，激发对拓展校园资源的积极性</t>
  </si>
  <si>
    <t>Ⅰ.活动分享-高校学生的校园认证&amp;主理人积累：</t>
  </si>
  <si>
    <t>- 7~8月开启活动预热，鼓舞学生共同参与，并引导完成裂变</t>
  </si>
  <si>
    <t>1.以固定现有的高校认证礼包机制鼓励认证，项目组提供礼包，无需结算</t>
  </si>
  <si>
    <t>2.进阶通过裂变&amp;裂变数量排名双激励机制鼓励分享，1~2轮活动，裂变以抽奖形式奖励，分阶段获得可领固定宝箱，再辅以排名的必得奖励，需TPD承担成本</t>
  </si>
  <si>
    <t>3.引导完成校园主理人认证，校园主理人认证后需在一定时间内加群，并对各主理人进行能力考核（落地相关产品活动，如开展一次王者水友赛事）。如果是区域主理人，则是对其下辖的校园主理人做考核</t>
  </si>
  <si>
    <t>Ⅱ.私域组建-分享页面的二维码扫码入群：以游戏福利、常规水友赛、参观机会吸引进入社群</t>
  </si>
  <si>
    <t>- 伴随相关的宣推含上述的活动分享，附着社群二维码引导加入，并以以下相关噱头激励，并进一步吸引加入</t>
  </si>
  <si>
    <t>1.在预热活动中埋上私域链接，每半月在群中开展类渠道活动推送，项目组提供礼包，无需结算</t>
  </si>
  <si>
    <t>2.每双月组织一轮官方水友赛，考虑以擂台赛概念进行，前期人数不足时考虑共同举办，需TPD承担成本</t>
  </si>
  <si>
    <t>3.每半年进行一次参观滨海/广州创意园参观活动，单轮预计成本1600，需TPD承担成本</t>
  </si>
  <si>
    <t>Ⅲ.KOL向-不同产品x两类活动的实际参与人数（需完成校园认证）</t>
  </si>
  <si>
    <t>- 季度性（首轮8月底9月开学季）推出不同产品的两类活动进行进校园的常规激励（产品宣推&amp;活动支持）</t>
  </si>
  <si>
    <t>1.每个省份、每个产品开展两类激励活动，分为产品宣推&amp;活动支持</t>
  </si>
  <si>
    <t>- 宣推的效果考核要以产品侧反馈为准（如覆盖场景、曝光等），若为覆盖场景则需要抽查机制</t>
  </si>
  <si>
    <t>- 活动支持则是具体的活动参与情况，如赛事参与，高校认证，礼包领取等</t>
  </si>
  <si>
    <t>2.每类激励活动设置阶梯解锁的奖励外，针对活动支持的激励活动，对Top3排名下的给予额外奖励</t>
  </si>
  <si>
    <t>②针对首轮维系的成本支出表</t>
  </si>
  <si>
    <t>Ⅰ.可使用成本预期</t>
  </si>
  <si>
    <t>占资源置换获得的利润%</t>
  </si>
  <si>
    <t>可投入成本</t>
  </si>
  <si>
    <t>Ⅱ.成本使用清单</t>
  </si>
  <si>
    <t>预热期-认证&amp;主理招募活动
如裂变</t>
  </si>
  <si>
    <t>预热期-主理人考核</t>
  </si>
  <si>
    <t>预热期-高校社群维护</t>
  </si>
  <si>
    <t>预热期-腾讯（滨海）参观</t>
  </si>
  <si>
    <t>开学季-宣推激励</t>
  </si>
  <si>
    <t>开学季-活动激励</t>
  </si>
  <si>
    <t>开学季-认证&amp;主理招募活动
如裂变</t>
  </si>
  <si>
    <t>开学季-主理人考核</t>
  </si>
  <si>
    <t>占比预期</t>
  </si>
  <si>
    <t>成本逻辑预期</t>
  </si>
  <si>
    <t>带来一定人数的活动参与</t>
  </si>
  <si>
    <t>完成一定数量的主理人考核</t>
  </si>
  <si>
    <t>参与认证-&gt;加入社群%</t>
  </si>
  <si>
    <t>固定次数</t>
  </si>
  <si>
    <t>覆盖一定数量的校园曝光</t>
  </si>
  <si>
    <t>覆盖一定数量的校园活动</t>
  </si>
  <si>
    <t>单用户参与成本期望</t>
  </si>
  <si>
    <t>单轮投入的活动奖励</t>
  </si>
  <si>
    <t>单校园活动激励</t>
  </si>
  <si>
    <t>成本预期</t>
  </si>
  <si>
    <t>6).落地SOP</t>
  </si>
  <si>
    <t>罗列相关的沟通弹药和不同阶段的应对方案</t>
  </si>
  <si>
    <t>to be continue...</t>
  </si>
  <si>
    <t>1).主理人管理&amp;激励SOP</t>
  </si>
  <si>
    <t>2).校园x游戏落地激励机制SOP</t>
  </si>
  <si>
    <t>3).校园x游戏合作活动SOP</t>
  </si>
  <si>
    <t>7).未来展望&amp;具体方向</t>
  </si>
  <si>
    <t>二、方案总结&amp;负责方</t>
  </si>
  <si>
    <t>①主理人方案&amp;校园合作架构一览</t>
  </si>
  <si>
    <t>Ⅰ.区域负责人-&gt;校园主理人-&gt;校园接口人-&gt;校园落地</t>
  </si>
  <si>
    <t>1.区域负责人：</t>
  </si>
  <si>
    <t>②【对外】激励模式</t>
  </si>
  <si>
    <t>Ⅰ.针对区域负责人</t>
  </si>
  <si>
    <t>Ⅱ.针对校园主理人</t>
  </si>
  <si>
    <t>③【对内】资源置换模式</t>
  </si>
  <si>
    <t>Ⅰ.王者荣耀</t>
  </si>
  <si>
    <t>Ⅱ.和平精英</t>
  </si>
  <si>
    <t>④校园活动模式</t>
  </si>
  <si>
    <t>三、方案SOP</t>
  </si>
  <si>
    <t>四、成本相关（人力、费用）</t>
  </si>
  <si>
    <t>①成本需要</t>
  </si>
  <si>
    <t>Ⅰ.代理人费用</t>
  </si>
  <si>
    <t>Ⅱ.</t>
  </si>
  <si>
    <t>五、附录</t>
  </si>
  <si>
    <t>①资源位提升预期</t>
  </si>
  <si>
    <t>一、方案两年内整体目标：完成12省4直辖700所校园的资源搭建，并可季度性开展产品宣推和活动，常态化与内部产品资源置换带来1249万增量利润，并打造26、27年秋开，27年毕业季进校园大型节点</t>
  </si>
  <si>
    <t>【26年】分两阶段达成7大省的350所校园主理人搭建，资源可控（季度性经校园激励活动落地AI、游戏宣推和活动），关系可延续（通过省份-区域-校园主理人模式逐级管理），并以此置换产品侧资源曝光用于权益带来363万增量利润</t>
  </si>
  <si>
    <t>*广东、湖南、四川、江苏、湖北、山东、河南</t>
  </si>
  <si>
    <t>Ⅰ.完成350所+校园的校园主理人（校园资源最小单位）搭建，校园主理人标准：①完成高校认证；②添加主理人管理联系微信；③可完成当季度的资源推广激励任务。</t>
  </si>
  <si>
    <t>Ⅱ.完成秋开进校园100所，全部均支持宣推合作，50所校园深入活动合作，5~10所AI开放日合作，Q3周期转化30万学生参与活动。（游戏x2：各自100家、AI：100家）</t>
  </si>
  <si>
    <t>Ⅲ.与相关产品（游戏、AI）达成校园合作意愿，提供相关认证、宣推、活动礼包，并基于资源制定明确的置换规则，预计26年达成三轮置换+27年春节置换，增量利润305万。</t>
  </si>
  <si>
    <t>【27年】分三阶段达成5省和4直辖市的350所学校主理人搭建，在资源把控和关系延续基础下，扩大产品合作规模，并在秋开关键节点筹备开启大型校园联动活动</t>
  </si>
  <si>
    <t>*河北、安徽、浙江、陕西、福建、北京、天津、上海、重庆</t>
  </si>
  <si>
    <t>Ⅰ.进一步拓展350+校园主理人搭建，并开启继承类活动，维持学校主理人的正常更迭。</t>
  </si>
  <si>
    <t>Ⅱ.每季度保持各产品类型1个推广激励活动，每季度可完成70%的宣推活动和30%的深入活动。规划三个节点的大型进校园节点（春秋开、毕业季），每轮触达超300所校园</t>
  </si>
  <si>
    <t>Ⅲ.拓展相关合作产品，重点发展权益未合作产品，包含火影、三角洲、洛克等项目，并维持常规的产品资源置换，增量利润700+244万（一年4个节点）</t>
  </si>
  <si>
    <t>【支出收益情况】26年项目的自然年增量利润为305万，搭建维护成本127万元，ROI240%</t>
  </si>
  <si>
    <t>Ⅰ.考虑26年自然年收支，以7个省的校园资源成本127万，其中100万为搭建成本，27万为活动运维成本（可考虑说服游戏用下行抵扣），完成3常规+1春节资源置换利润305万。</t>
  </si>
  <si>
    <t>Ⅱ.首轮Q3所需人力：0.5商务+4产研+3运营+6运营实习</t>
  </si>
  <si>
    <t>Ⅲ.单省资源搭建维度下，首年搭建+次年维护成本56.6万，1.5份省份资源稳定完成1个游戏的资源置换，8常规+2春节置换利润270万，ROI 317%</t>
  </si>
  <si>
    <t>Ⅳ.若批规模校园资源可推动额外的头部游戏或AI的权益合作，ROI将大幅提升（单头部产品单年增量利润300万+）</t>
  </si>
  <si>
    <t xml:space="preserve">                          收获
付出</t>
  </si>
  <si>
    <t>二、26年H2两阶段完成7所重点高校的主理人搭建，完成秋开100家校园的合作落地&amp;两轮季度性激励活动，从而与游戏置换三轮资源获得183万利润增量。</t>
  </si>
  <si>
    <t>【Q3】经基础津贴、成长、落地激励两阶主理人（校园主理人-&gt;区域主理人），达成3省150所高校主理人搭建，与达成合作意向的产品完成三重点省份的资源收集和100家秋开落地</t>
  </si>
  <si>
    <t>每月整体
里程碑</t>
  </si>
  <si>
    <t>- 6月：完成产运、商务的各项基础性建设，包含广东50所校园搭建、游戏宣讲+意愿确认、激励的产品能力支持、赞助模式的确认。</t>
  </si>
  <si>
    <t>- 7月：完成额外两个省份的100校园搭建，首轮资源激励落地和季度性活动的产品能力搭建。同步在7月底前完成开学季合作意向确认。</t>
  </si>
  <si>
    <t>- 8月：筹备开学季入校园产品活动，并输出分校分活动分产品的checklist，确保9月活动顺利落地百家校园，其中50所深入合作，转化30万参与开学季校园活动；同步开启另外4个省份的校园搭建</t>
  </si>
  <si>
    <t>- 9月：依计划落地开学季活动，同时8-9月完成额外2个省份的100所校园资源搭建，并基于这批校园资源补足开学季百所目标</t>
  </si>
  <si>
    <t>关键事项拆解:</t>
  </si>
  <si>
    <t>Ⅰ.校园资源搭建:以阶梯式对校园资源进行搭建管理，单省份以1名负责人+3名核心区域主理人进行校园关系搭建，梳理各校园合作条件（宣传推广、深入活动）</t>
  </si>
  <si>
    <t>1）.核心概念</t>
  </si>
  <si>
    <t>①.校园主理人：校园资源最小单位，负责1~2个学校的产品宣推和深入活动支持，需完成高校认证、添加社群&amp;完成首季度激励活动，单学校可有多个主理人</t>
  </si>
  <si>
    <t>②.区域主理人：（通过分享）完成3家不同学校的主理人引入可算入区域主理人体系，基于校园数量和落地情况，提供相应激励</t>
  </si>
  <si>
    <t>- 单学生身份：10家以内的学校主理人搭建，经主理人活动激励进行校园宣推&amp;活动</t>
  </si>
  <si>
    <t>- 项目实习生身份：大于10家的学校主理人搭建，每季度可完成70%的校园内产品曝光宣推&amp;30%的产品活动宣推，按数量加权排序给予项目实习生机会</t>
  </si>
  <si>
    <t>- 28届实习生身份：大于20家学校主理人的搭建，由负责人/项目实习生自荐，满足面试情况&amp;相关条件的可给予28届实习生机会</t>
  </si>
  <si>
    <t>③.省份负责人：由腾讯应届实习/员工直接负责，负责单个或多个省份的校园资源整体统筹管理，对片区/学校主理人数量直接负责。并对头部S院校进行直接维系。</t>
  </si>
  <si>
    <t>④.校园关系搭建：存在校园主理人并可日常对裂变认证活动进行传播，引导学生完成认证&amp;加入相关社群，并可完成首季度的推广激励任务</t>
  </si>
  <si>
    <t>2）.关键月份里程碑</t>
  </si>
  <si>
    <t>①.【6月-完成广东的校园收集&amp;校园模式的基础能力搭建】上旬以广东作为合作起点，培养现有应届实习从区域主理人-&gt;省份负责人，同步开启重点省份的片区主理人招聘并对后续重点省份进行摸索，并确认社团激励模式，从而可在下旬完成广东30~40所学校的建联搭建&amp;应届实习生可在此时转向其他省份</t>
  </si>
  <si>
    <t>②.【7月-拓展省份&amp;确认合作意向】上旬以另外2个省份，推动省份负责人（应届实习）&amp;片区主理人（28届/项目实习生）各自完成相关的校园关系搭建，单省份预期完成60~70所学校的建联，并同步完成开学季的合作落地，下旬完成开学季可合作校园的意向确认</t>
  </si>
  <si>
    <t>③.【8月-完善资源库】转向落地筹备，资源侧逐步额外拓展现有省份的合作校园池子，落地时间可放宽到9月中下旬~10月</t>
  </si>
  <si>
    <t>Ⅱ.敲定内部产品资源置换：以校园及相关衍生的线上、线下资源，与游戏侧约定置换预期&amp;置换规模，并完成第一轮资源落地+61万增量利润。</t>
  </si>
  <si>
    <t>1）.核心产品</t>
  </si>
  <si>
    <t>①.游戏类：王者、和平，权益合作√，下行成本√，合作意愿√，IP和体量√</t>
  </si>
  <si>
    <t>②.AI类：WorkBuddy，Qclaw</t>
  </si>
  <si>
    <t>①.【6月-确认意向】确定合作的初步预期&amp;资源置换诉求，并确认该合作下项目方可提供的其他资源（礼包、下行成本、资源宣传曝光）</t>
  </si>
  <si>
    <t>②.【6&amp;7月-开启预热&amp;校园社区搭建】开启认证、裂变、初期暑期活动等针对高校学生的活动，预热并维系校园的相关社群，并针对已认证玩家下发短信引导，参与人数预期：5万</t>
  </si>
  <si>
    <t>③.【7&amp;8月-修正方案&amp;筹备开学季落地】基于合作模式&amp;建联后的反馈情况，与游戏做最终的落地信息确认，并筹备落地合作150家秋开校园合作</t>
  </si>
  <si>
    <t>④.【9月-基于checklist逐步落地各项校园活动】</t>
  </si>
  <si>
    <t>Ⅲ.赞助方支持：若高校大型节点活动需要相关赞助支持，寻找合作赞助方串联合作。</t>
  </si>
  <si>
    <t>①.【6月-缕清模式】确认赞助的落地模式，确认赞助方预算范围&amp;量化赞助条件，梳理对赞助双方均合理可推进的赞助约定方式</t>
  </si>
  <si>
    <t>②..【7月-匹配诉求&amp;敲定落地】同步&amp;逐步敲定与校园诉求方启动相关赞助协商，确保每轮合作的成功落地</t>
  </si>
  <si>
    <t>Q4:完成额外4个省份的校园资源拓展（同模式下），筹备年末12月节点校园活动+春开资源置换游戏27年1~2月资源，为26年带来122万利润增量</t>
  </si>
  <si>
    <t>Ⅰ.【9月&amp;10月】针对江苏、湖北进行相关的校园资源搭建，并可基于Q3开学季活动的宣推、活动落地进行校园激励活动，完成100所校园搭建，其中35%和15%的宣推&amp;活动规模，以此置换10月资源+61万增量利润</t>
  </si>
  <si>
    <t>Ⅱ.【11&amp;12月】针对山东、河南搭建，完成100所校园搭建，并同步筹备岁末&amp;27年春开入校园活动，为26年带来122万利润增量</t>
  </si>
  <si>
    <t>Ⅲ.【11&amp;12月】与头部关键新游如三角洲、火影、洛克同步进行权益&amp;资源置换合作筹备，推动1月可完成两项头部游戏的合作达成&amp;资源位获取，为26年带来500万利润增量</t>
  </si>
  <si>
    <t>27年H1目标：完成5省4直辖的350校园建联，并持续维持26年7省的校园主理人350校园编制，打造毕业季Showcase，</t>
  </si>
  <si>
    <t>27年H2目标：打造开学季Showcase，校园以迎新杯/打卡概念，AI以开放日概念，12省4直辖的校园资源全面调动，完成近700所的高校校园合作，吸引70万高校学生直接参与该活动。</t>
  </si>
  <si>
    <t>三、需5个产研人力做主理人激励&amp;活动能力的搭建，0.5个商务人力支持相关的校园赞助工作。运营将投入2人力&amp;9个应届/28届/项目实习生，投入129万资源搭建成本，预期本轮资源半年可带来增量利润305万元（26年三轮+27年春节）</t>
  </si>
  <si>
    <t>人力情况：资源搭建阶段，3省需6个项目实习生/28届实习生+3个应届实习/运营。Q3需4个产研人力及0.5个商务人力</t>
  </si>
  <si>
    <t>Ⅰ.运营：1个应届/运营负责省份负责人和S级学校的直接维护，2个项目/28届实习作为区域负责人进行校园资源的直接报那个</t>
  </si>
  <si>
    <t>Ⅱ.产研：支撑主理人体系、高校预热x开学季活动两个的模块的能力和机制搭建</t>
  </si>
  <si>
    <t>Ⅲ.商务：若学校需要额外赞助，需商务方支持找到赞助方共同进校，并确认相关机制</t>
  </si>
  <si>
    <t>预算情况：主要包含主理人维系、活动支持等落地类推广费预算成本119万元</t>
  </si>
  <si>
    <t>Ⅰ.成本主要基于活动&amp;主理人激励体系展开，26年活动预期如下，部分可由产品侧承担（以下行或直接承担的方式）：</t>
  </si>
  <si>
    <t>2.进阶通过裂变&amp;裂变数量排名双激励机制鼓励分享，1~2轮活动，裂变以抽奖形式奖励，分阶段获得可领固定宝箱，再辅以排名的必得奖励，需TPD承担推广成本</t>
  </si>
  <si>
    <t>2.每双月组织一轮官方水友赛，考虑以擂台赛概念进行，前期人数不足时考虑多省共同举办，或需TPD承担部分奖励成本</t>
  </si>
  <si>
    <t>3.每半年进行一次参观滨海/广州创意园参观活动，单轮预计成本1600，需TPD承担活动成本</t>
  </si>
  <si>
    <t>- 季度性（两轮，首轮9、10月开学季，次轮12月）推出不同产品的两类活动进行进校园的常规激励（产品宣推&amp;活动支持）</t>
  </si>
  <si>
    <t>- 宣推的效果考核要以产品侧反馈为准（如覆盖场景、曝光等），若为覆盖场景则需要抽查机制，或许TPD承担部分物料成本</t>
  </si>
  <si>
    <t>- 标杆高校的AI开放日活动，或许TPD承担部分成本</t>
  </si>
  <si>
    <t>2.每类激励活动设置阶梯解锁的奖励外，针对活动支持的激励活动，对Top3排名下的给予额外奖励，需TPD承担推广成本</t>
  </si>
  <si>
    <t>Ⅳ.开学季标杆开放日-AI产品5~10个校园的重点落地，待定，评估可经赞助完成相关成本的支撑</t>
  </si>
  <si>
    <t>方案需与头部S级高校协商后制定</t>
  </si>
  <si>
    <t>Ⅱ. 26年成本计算逻辑：校园搭建成本为100万。入校园活动相关成本为28.6万，其中入校园活动成本若项目可支持通过下行置换。</t>
  </si>
  <si>
    <t>单用户成本期望并不是每个用户固定就会得固定金额，将通过结合游戏礼包、阶梯解锁礼盒活动、排名活动等多重激励对活动进行设计，最大程度吸引学生参与</t>
  </si>
  <si>
    <t>7月预热期-认证&amp;主理招募活动
1省份（Ⅰ.2）</t>
  </si>
  <si>
    <t>7月预热期主理人考核-私域组建&amp;首轮活动（Ⅰ.3，Ⅱ.2）</t>
  </si>
  <si>
    <t>季度9&amp;12月活动落地-腾讯（滨海/TIT）参观（Ⅱ.3）</t>
  </si>
  <si>
    <t>开学季-认证&amp;主理招募活动
2省份</t>
  </si>
  <si>
    <t>开学季主理人考核-私域组建&amp;首轮活动（Ⅰ.3，Ⅱ.2）</t>
  </si>
  <si>
    <t>Q4-认证&amp;主理招募活动
4省份</t>
  </si>
  <si>
    <t>12月预热期主理人考核-私域组建&amp;首轮活动（Ⅰ.3，Ⅱ.2）</t>
  </si>
  <si>
    <t>成本类目</t>
  </si>
  <si>
    <t>Q币以及过往部分实物奖品</t>
  </si>
  <si>
    <t>Q币以及过往部分实物奖品，可置换项目下
若项目考虑可使用下行，可进一步提升活动投入</t>
  </si>
  <si>
    <t>直接在部门利润中划扣</t>
  </si>
  <si>
    <t>活动目的</t>
  </si>
  <si>
    <t>达成高校认证合作用户</t>
  </si>
  <si>
    <t>首轮-线上活动激励主理人</t>
  </si>
  <si>
    <t>1万社群用户的每Q维系成本</t>
  </si>
  <si>
    <t>每Q每省社团维系成本</t>
  </si>
  <si>
    <t>开学季-宣推激励主理人</t>
  </si>
  <si>
    <t>开学季-活动激励主理人</t>
  </si>
  <si>
    <t>首轮主理人认证激励达成+活动成本
激励：
一线：推广300，活动600
二线：推广200，活动500
活动：1000</t>
  </si>
  <si>
    <t>单省满3000社群用户开启活动</t>
  </si>
  <si>
    <t>固定次数（3+10）</t>
  </si>
  <si>
    <t xml:space="preserve">首轮主理人认证激励达成+活动成本
激励：
一线省份：推广300，活动600
二线省份：推广200，活动500
活动：1000
</t>
  </si>
  <si>
    <t>每次举办价格</t>
  </si>
  <si>
    <t>SUM（包含Q币和实物奖品）</t>
  </si>
  <si>
    <t>Ⅲ.【单省以年周期维度】资源搭建和维护成本以及利润关系：以1.5个省可每季度与1个头部游戏完成一轮资源合作置换，首年搭建+维护成本ROI为311%，次年维护成本ROI为490%，利润162万。</t>
  </si>
  <si>
    <t>若考虑维护成本&amp;置换成本</t>
  </si>
  <si>
    <t>新搭建单个省的首年成本</t>
  </si>
  <si>
    <t>单个省的后续维护成本</t>
  </si>
  <si>
    <t>高校认证激励</t>
  </si>
  <si>
    <t>主理人认证</t>
  </si>
  <si>
    <t>社群维护</t>
  </si>
  <si>
    <t>社区活动</t>
  </si>
  <si>
    <t>固定次数（4）</t>
  </si>
  <si>
    <t>首轮主理人认证激励达成+活动成本
激励：
一线省份：推广300，活动600
二线省份：推广200，活动500
活动：1000</t>
  </si>
  <si>
    <t>单省满3000社群用户开启活动
考虑积累社群变多</t>
  </si>
  <si>
    <t>每季度一次</t>
  </si>
  <si>
    <t>Ⅲ.按完成和平&amp;王者一个月的资源置换，预期可获得额外利润61万</t>
  </si>
  <si>
    <t>4常规+2春节</t>
  </si>
  <si>
    <t>1).头部游戏的校园合作诉求和置换支持可能</t>
  </si>
  <si>
    <t>- 和平、王者均已与TPD就权益合作和运营商资源有过资源置换合作，就目前对游戏内部资源政策的了解，该条并非卡点</t>
  </si>
  <si>
    <t>2).对主理人的激励政策使用推广费下的Q币资源</t>
  </si>
  <si>
    <t>- 基于产品（AI、游戏）联合宣推活动从而置换端内资源的口径下，过往CFM、CODM均跑通过QB置换活动逻辑，需论证利润价值的情况下，可跑通，该条并非卡点</t>
  </si>
  <si>
    <t>3).规模提升后的28届实习生和项目实习生quota&amp;出差情况</t>
  </si>
  <si>
    <t>- 待确认</t>
  </si>
  <si>
    <t>4).校园对游戏产品的入校园政策收紧</t>
  </si>
  <si>
    <t>- 对校园的清单已经有对游戏敏感型校园的目标排除，其余校园以主理人个人角度做宣传&amp;活动开展目前看有一定可行性，该条并非卡点</t>
  </si>
  <si>
    <t>5).若校园提到需要赞助的情况下，如何能保证赞助三方能按需求完成最终约定并落地，直接关系到大型活动如AI开放日及27年showcase</t>
  </si>
</sst>
</file>

<file path=xl/styles.xml><?xml version="1.0" encoding="utf-8"?>
<styleSheet xmlns="http://schemas.openxmlformats.org/spreadsheetml/2006/main">
  <numFmts count="1">
    <numFmt numFmtId="300" formatCode="#,##0.00"/>
  </numFmts>
  <fonts count="4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腾讯体 W3"/>
      <b val="true"/>
      <color rgb="FF1F4E79"/>
      <sz val="14"/>
    </font>
    <font>
      <name val="腾讯体 W3"/>
    </font>
    <font>
      <name val="腾讯体 W3"/>
      <b val="true"/>
      <color rgb="FF1F4E79"/>
      <sz val="12"/>
    </font>
    <font>
      <name val="腾讯体 W3"/>
      <sz val="10"/>
    </font>
    <font>
      <name val="腾讯体 W3"/>
      <b val="true"/>
      <color rgb="FFC00000"/>
      <sz val="11"/>
    </font>
    <font>
      <b val="true"/>
      <color rgb="FFFFFFFF"/>
      <sz val="11"/>
    </font>
    <font>
      <sz val="11"/>
    </font>
    <font>
      <b val="true"/>
      <color rgb="FFC00000"/>
      <sz val="11"/>
    </font>
    <font>
      <color rgb="FF595959"/>
      <sz val="11"/>
    </font>
    <font>
      <i val="true"/>
      <color rgb="FFBF8F00"/>
      <sz val="11"/>
    </font>
    <font>
      <strike val="true"/>
      <color rgb="FFA6A6A6"/>
      <sz val="11"/>
    </font>
    <font>
      <name val="腾讯体 W7"/>
      <sz val="12"/>
    </font>
    <font>
      <name val="腾讯体 W3"/>
      <b val="true"/>
    </font>
    <font>
      <name val="腾讯体 W3"/>
      <b val="true"/>
    </font>
    <font>
      <name val="腾讯体 W3"/>
    </font>
    <font>
      <name val="腾讯体 W7"/>
      <b val="true"/>
      <sz val="12"/>
    </font>
    <font>
      <name val="腾讯体 W7"/>
      <sz val="12"/>
    </font>
    <font>
      <name val="腾讯体 W3"/>
      <color rgb="FF000000"/>
    </font>
    <font>
      <name val="腾讯体 W3"/>
      <color rgb="FF000000"/>
    </font>
    <font>
      <name val="腾讯体 W3"/>
      <b val="true"/>
      <color rgb="FFFFFFFF"/>
      <sz val="11"/>
    </font>
    <font>
      <name val="腾讯体 W3"/>
      <sz val="11"/>
    </font>
    <font>
      <name val="腾讯体 W3"/>
      <color rgb="FF595959"/>
      <sz val="11"/>
    </font>
    <font>
      <name val="腾讯体 W3"/>
      <i val="true"/>
      <color rgb="FFBF8F00"/>
      <sz val="11"/>
    </font>
    <font>
      <name val="腾讯体 W3"/>
      <strike val="true"/>
      <color rgb="FFA6A6A6"/>
      <sz val="11"/>
    </font>
    <font>
      <name val="腾讯体 W3"/>
      <b val="true"/>
      <sz val="11"/>
    </font>
    <font/>
    <font/>
    <font>
      <name val="腾讯体 W7"/>
      <sz val="10"/>
    </font>
    <font>
      <name val="腾讯体 W7"/>
      <color rgb="FFBFBFBF"/>
      <sz val="14"/>
    </font>
    <font>
      <name val="腾讯体 W7"/>
      <b val="true"/>
      <color rgb="FF000000"/>
      <sz val="14"/>
    </font>
    <font>
      <name val="腾讯体 W7"/>
      <sz val="14"/>
    </font>
    <font>
      <name val="腾讯体 W3"/>
      <sz val="14"/>
    </font>
    <font>
      <name val="腾讯体 W3"/>
      <sz val="12"/>
    </font>
    <font>
      <sz val="12"/>
    </font>
    <font>
      <name val="腾讯体 W7"/>
      <sz val="14"/>
    </font>
    <font/>
    <font>
      <sz val="14"/>
    </font>
    <font>
      <name val="腾讯体 W3"/>
      <color rgb="FF1450B8"/>
      <sz val="12"/>
    </font>
    <font>
      <name val="腾讯体 W3"/>
      <color rgb="FF1450B8"/>
      <sz val="12"/>
    </font>
    <font>
      <name val="腾讯体 W3"/>
      <sz val="12"/>
    </font>
    <font>
      <name val="腾讯体 W7"/>
    </font>
    <font>
      <color rgb="FFBFBFBF"/>
      <sz val="14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D9A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9E3"/>
      </patternFill>
    </fill>
    <fill/>
    <fill>
      <patternFill patternType="solid">
        <fgColor rgb="FFFFFF00"/>
      </patternFill>
    </fill>
    <fill>
      <patternFill patternType="solid">
        <fgColor rgb="FFFFEEAD"/>
      </patternFill>
    </fill>
    <fill>
      <patternFill patternType="solid">
        <fgColor rgb="FFFFE270"/>
      </patternFill>
    </fill>
    <fill>
      <patternFill patternType="solid">
        <fgColor rgb="FF1F4E7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DEBFF"/>
      </patternFill>
    </fill>
    <fill>
      <patternFill patternType="solid">
        <fgColor rgb="FFFFFF00"/>
        <bgColor auto="true"/>
      </patternFill>
    </fill>
    <fill/>
    <fill>
      <patternFill patternType="solid">
        <fgColor rgb="FFFDEBFF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 diagonalDown="true"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6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bottom" textRotation="0"/>
    </xf>
    <xf fontId="4" fillId="0" borderId="0" xfId="0">
      <alignment vertical="center" textRotation="0" wrapText="true"/>
    </xf>
    <xf numFmtId="0" fontId="5" fillId="0" borderId="0" xfId="0">
      <alignment vertical="center" textRotation="0" wrapText="true"/>
    </xf>
    <xf numFmtId="0" fontId="6" fillId="0" borderId="0" xfId="0">
      <alignment vertical="center" textRotation="0" wrapText="true"/>
    </xf>
    <xf numFmtId="0" fontId="7" fillId="0" borderId="0" xfId="0">
      <alignment vertical="center" textRotation="0" wrapText="true"/>
    </xf>
    <xf numFmtId="0" fontId="8" fillId="2" borderId="1" xfId="0">
      <alignment horizontal="center" vertical="center" textRotation="0" wrapText="true"/>
    </xf>
    <xf numFmtId="0" fontId="8" fillId="2" borderId="2" xfId="0">
      <alignment horizontal="center" vertical="center" textRotation="0" wrapText="true"/>
    </xf>
    <xf numFmtId="0" fontId="9" fillId="0" borderId="3" xfId="0">
      <alignment horizontal="center" vertical="center" textRotation="0" wrapText="true"/>
    </xf>
    <xf numFmtId="0" fontId="9" fillId="0" borderId="4" xfId="0">
      <alignment horizontal="center" vertical="center" textRotation="0" wrapText="true"/>
    </xf>
    <xf numFmtId="0" fontId="9" fillId="0" borderId="4" xfId="0">
      <alignment vertical="center" textRotation="0" wrapText="true"/>
    </xf>
    <xf numFmtId="0" fontId="10" fillId="0" borderId="4" xfId="0">
      <alignment horizontal="center" vertical="center" textRotation="0" wrapText="true"/>
    </xf>
    <xf numFmtId="0" fontId="9" fillId="0" borderId="0" xfId="0">
      <alignment vertical="bottom" textRotation="0"/>
    </xf>
    <xf numFmtId="0" fontId="9" fillId="3" borderId="4" xfId="0">
      <alignment vertical="center" textRotation="0" wrapText="true"/>
    </xf>
    <xf numFmtId="0" fontId="9" fillId="4" borderId="4" xfId="0">
      <alignment vertical="center" textRotation="0" wrapText="true"/>
    </xf>
    <xf numFmtId="0" fontId="9" fillId="5" borderId="4" xfId="0">
      <alignment vertical="center" textRotation="0" wrapText="true"/>
    </xf>
    <xf numFmtId="0" fontId="9" fillId="6" borderId="4" xfId="0">
      <alignment vertical="center" textRotation="0" wrapText="true"/>
    </xf>
    <xf numFmtId="0" fontId="11" fillId="0" borderId="4" xfId="0">
      <alignment horizontal="center" vertical="center" textRotation="0" wrapText="true"/>
    </xf>
    <xf numFmtId="0" fontId="12" fillId="0" borderId="4" xfId="0">
      <alignment horizontal="center" vertical="center" textRotation="0" wrapText="true"/>
    </xf>
    <xf numFmtId="0" fontId="13" fillId="0" borderId="4" xfId="0">
      <alignment horizontal="center" vertical="center" textRotation="0" wrapText="true"/>
    </xf>
    <xf fontId="14" fillId="0" borderId="0" xfId="0">
      <alignment vertical="center"/>
    </xf>
    <xf fontId="15" fillId="0" borderId="0" xfId="0">
      <alignment vertical="center"/>
    </xf>
    <xf fontId="4" fillId="0" borderId="0" xfId="0">
      <alignment vertical="center"/>
    </xf>
    <xf fontId="16" fillId="0" borderId="0" xfId="0">
      <alignment vertical="center"/>
    </xf>
    <xf fontId="17" fillId="0" borderId="0" xfId="0">
      <alignment vertical="center"/>
    </xf>
    <xf fontId="18" fillId="0" borderId="0" xfId="0">
      <alignment vertical="center"/>
    </xf>
    <xf fontId="19" fillId="0" borderId="0" xfId="0">
      <alignment vertical="center"/>
    </xf>
    <xf fontId="4" fillId="0" borderId="5" xfId="0">
      <alignment vertical="center"/>
    </xf>
    <xf fontId="4" fillId="0" borderId="6" xfId="0">
      <alignment vertical="center"/>
    </xf>
    <xf fontId="20" fillId="0" borderId="7" xfId="0">
      <alignment vertical="center"/>
    </xf>
    <xf fontId="21" fillId="0" borderId="7" xfId="0">
      <alignment vertical="center"/>
    </xf>
    <xf numFmtId="0" fontId="21" fillId="0" borderId="7" xfId="0">
      <alignment vertical="center"/>
    </xf>
    <xf numFmtId="3" fontId="21" fillId="0" borderId="7" xfId="0">
      <alignment vertical="center"/>
    </xf>
    <xf fontId="21" fillId="7" borderId="7" xfId="0">
      <alignment vertical="center"/>
    </xf>
    <xf numFmtId="3" fontId="21" fillId="8" borderId="7" xfId="0">
      <alignment vertical="center"/>
    </xf>
    <xf numFmtId="9" fontId="21" fillId="9" borderId="7" xfId="0">
      <alignment vertical="center"/>
    </xf>
    <xf fontId="21" fillId="10" borderId="7" xfId="0">
      <alignment vertical="center"/>
    </xf>
    <xf fontId="21" fillId="10" borderId="8" xfId="0">
      <alignment vertical="center"/>
    </xf>
    <xf numFmtId="3" fontId="21" fillId="0" borderId="8" xfId="0">
      <alignment vertical="center"/>
    </xf>
    <xf numFmtId="3" fontId="21" fillId="8" borderId="8" xfId="0">
      <alignment vertical="center"/>
    </xf>
    <xf numFmtId="9" fontId="21" fillId="9" borderId="8" xfId="0">
      <alignment vertical="center"/>
    </xf>
    <xf fontId="4" fillId="11" borderId="7" xfId="0">
      <alignment vertical="center"/>
    </xf>
    <xf numFmtId="3" fontId="4" fillId="0" borderId="7" xfId="0">
      <alignment vertical="center"/>
    </xf>
    <xf numFmtId="3" fontId="4" fillId="8" borderId="7" xfId="0">
      <alignment vertical="center"/>
    </xf>
    <xf fontId="4" fillId="9" borderId="7" xfId="0">
      <alignment vertical="center"/>
    </xf>
    <xf numFmtId="0" fontId="22" fillId="2" borderId="1" xfId="0">
      <alignment horizontal="center" vertical="center" textRotation="0" wrapText="true"/>
    </xf>
    <xf numFmtId="0" fontId="22" fillId="2" borderId="2" xfId="0">
      <alignment horizontal="center" vertical="center" textRotation="0" wrapText="true"/>
    </xf>
    <xf numFmtId="0" fontId="22" fillId="12" borderId="2" xfId="0">
      <alignment horizontal="center" vertical="center" textRotation="0" wrapText="true"/>
    </xf>
    <xf numFmtId="0" fontId="23" fillId="13" borderId="3" xfId="0">
      <alignment horizontal="center" vertical="center" textRotation="0" wrapText="true"/>
    </xf>
    <xf numFmtId="0" fontId="7" fillId="0" borderId="4" xfId="0">
      <alignment horizontal="center" vertical="center" textRotation="0" wrapText="true"/>
    </xf>
    <xf numFmtId="0" fontId="23" fillId="0" borderId="4" xfId="0">
      <alignment horizontal="center" vertical="center" textRotation="0" wrapText="true"/>
    </xf>
    <xf numFmtId="0" fontId="24" fillId="0" borderId="4" xfId="0">
      <alignment horizontal="center" vertical="center" textRotation="0" wrapText="true"/>
    </xf>
    <xf numFmtId="0" fontId="25" fillId="0" borderId="4" xfId="0">
      <alignment horizontal="center" vertical="center" textRotation="0" wrapText="true"/>
    </xf>
    <xf numFmtId="0" fontId="26" fillId="0" borderId="4" xfId="0">
      <alignment horizontal="center" vertical="center" textRotation="0" wrapText="true"/>
    </xf>
    <xf numFmtId="0" fontId="23" fillId="14" borderId="3" xfId="0">
      <alignment horizontal="center" vertical="center" textRotation="0" wrapText="true"/>
    </xf>
    <xf numFmtId="0" fontId="27" fillId="0" borderId="3" xfId="0">
      <alignment horizontal="center" vertical="center" textRotation="0" wrapText="true"/>
    </xf>
    <xf numFmtId="0" fontId="27" fillId="0" borderId="4" xfId="0">
      <alignment horizontal="center" vertical="center" textRotation="0" wrapText="true"/>
    </xf>
    <xf fontId="4" fillId="0" borderId="9" xfId="0">
      <alignment vertical="center" wrapText="true"/>
    </xf>
    <xf fontId="4" fillId="0" borderId="7" xfId="0">
      <alignment horizontal="center" vertical="center"/>
    </xf>
    <xf fontId="4" fillId="0" borderId="7" xfId="0">
      <alignment vertical="center" wrapText="true"/>
    </xf>
    <xf fontId="0" fillId="0" borderId="7" xfId="0">
      <alignment vertical="center"/>
    </xf>
    <xf fontId="4" fillId="0" borderId="7" xfId="0">
      <alignment vertical="center"/>
    </xf>
    <xf fontId="14" fillId="0" borderId="0" xfId="0">
      <alignment horizontal="center" vertical="center"/>
    </xf>
    <xf fontId="4" fillId="0" borderId="0" xfId="0">
      <alignment horizontal="center" vertical="center"/>
    </xf>
    <xf numFmtId="0" fontId="4" fillId="0" borderId="0" xfId="0">
      <alignment horizontal="center" vertical="center"/>
    </xf>
    <xf fontId="4" fillId="0" borderId="0" xfId="0">
      <alignment horizontal="left" vertical="center"/>
    </xf>
    <xf numFmtId="0" fontId="4" fillId="0" borderId="7" xfId="0">
      <alignment horizontal="center" vertical="center"/>
    </xf>
    <xf fontId="14" fillId="0" borderId="0" xfId="0">
      <alignment vertical="center" wrapText="true"/>
    </xf>
    <xf numFmtId="0" fontId="4" fillId="0" borderId="7" xfId="0">
      <alignment vertical="center" wrapText="true"/>
    </xf>
    <xf fontId="4" fillId="0" borderId="8" xfId="0">
      <alignment vertical="center" wrapText="true"/>
    </xf>
    <xf fontId="4" fillId="0" borderId="0" xfId="0">
      <alignment vertical="center" wrapText="true"/>
    </xf>
    <xf fontId="0" fillId="0" borderId="10" xfId="0">
      <alignment vertical="center"/>
    </xf>
    <xf fontId="17" fillId="0" borderId="7" xfId="0">
      <alignment vertical="center" wrapText="true"/>
    </xf>
    <xf fontId="17" fillId="0" borderId="8" xfId="0">
      <alignment vertical="center" wrapText="true"/>
    </xf>
    <xf fontId="4" fillId="0" borderId="11" xfId="0">
      <alignment vertical="center" wrapText="true"/>
    </xf>
    <xf fontId="0" fillId="0" borderId="12" xfId="0">
      <alignment vertical="center"/>
    </xf>
    <xf numFmtId="0" fontId="4" fillId="0" borderId="0" xfId="0">
      <alignment vertical="center"/>
    </xf>
    <xf fontId="4" fillId="0" borderId="7" xfId="0">
      <alignment horizontal="center" vertical="center" wrapText="true"/>
    </xf>
    <xf numFmtId="10" fontId="4" fillId="9" borderId="7" xfId="0">
      <alignment vertical="center"/>
    </xf>
    <xf numFmtId="9" fontId="4" fillId="9" borderId="7" xfId="0">
      <alignment vertical="center"/>
    </xf>
    <xf numFmtId="3" fontId="4" fillId="9" borderId="7" xfId="0">
      <alignment vertical="center"/>
    </xf>
    <xf fontId="17" fillId="0" borderId="7" xfId="0">
      <alignment vertical="center"/>
    </xf>
    <xf fontId="28" fillId="8" borderId="7" xfId="0">
      <alignment vertical="center"/>
    </xf>
    <xf fontId="29" fillId="0" borderId="7" xfId="0">
      <alignment vertical="center"/>
    </xf>
    <xf numFmtId="3" fontId="4" fillId="0" borderId="0" xfId="0">
      <alignment vertical="center"/>
    </xf>
    <xf fontId="30" fillId="0" borderId="0" xfId="0">
      <alignment vertical="center"/>
    </xf>
    <xf numFmtId="9" fontId="4" fillId="0" borderId="0" xfId="0">
      <alignment vertical="center"/>
    </xf>
    <xf numFmtId="0" fontId="31" fillId="0" borderId="0" xfId="0">
      <alignment vertical="center" textRotation="0" indent="0" justifyLastLine="false" shrinkToFit="false"/>
    </xf>
    <xf fontId="32" fillId="0" borderId="0" xfId="0">
      <alignment vertical="center"/>
    </xf>
    <xf fontId="33" fillId="0" borderId="0" xfId="0">
      <alignment vertical="center"/>
    </xf>
    <xf fontId="31" fillId="0" borderId="0" xfId="0">
      <alignment vertical="center"/>
    </xf>
    <xf fontId="34" fillId="0" borderId="0" xfId="0">
      <alignment vertical="center"/>
    </xf>
    <xf fontId="35" fillId="0" borderId="0" xfId="0">
      <alignment vertical="center"/>
    </xf>
    <xf numFmtId="0" fontId="14" fillId="0" borderId="0" xfId="0">
      <alignment vertical="center" textRotation="0" indent="0" justifyLastLine="false" shrinkToFit="false"/>
    </xf>
    <xf fontId="36" fillId="0" borderId="0" xfId="0">
      <alignment vertical="center"/>
    </xf>
    <xf fontId="37" fillId="0" borderId="0" xfId="0">
      <alignment vertical="center"/>
    </xf>
    <xf numFmtId="0" fontId="35" fillId="0" borderId="9" xfId="0">
      <alignment vertical="center" textRotation="0" wrapText="true" indent="0" justifyLastLine="false" shrinkToFit="false"/>
    </xf>
    <xf numFmtId="0" fontId="35" fillId="0" borderId="7" xfId="0">
      <alignment horizontal="center" vertical="center" textRotation="0" wrapText="true" indent="0" justifyLastLine="false" shrinkToFit="false"/>
    </xf>
    <xf fontId="35" fillId="0" borderId="9" xfId="0">
      <alignment vertical="center" wrapText="true"/>
    </xf>
    <xf numFmtId="0" fontId="35" fillId="0" borderId="7" xfId="0">
      <alignment vertical="center" textRotation="0" wrapText="true" indent="0" justifyLastLine="false" shrinkToFit="false"/>
    </xf>
    <xf fontId="38" fillId="0" borderId="7" xfId="0">
      <alignment vertical="center"/>
    </xf>
    <xf fontId="35" fillId="0" borderId="7" xfId="0">
      <alignment vertical="center" wrapText="true"/>
    </xf>
    <xf fontId="33" fillId="0" borderId="0" xfId="0">
      <alignment horizontal="center" vertical="center" wrapText="true"/>
    </xf>
    <xf fontId="33" fillId="0" borderId="13" xfId="0">
      <alignment horizontal="center" vertical="center" wrapText="true"/>
    </xf>
    <xf fontId="14" fillId="0" borderId="7" xfId="0">
      <alignment vertical="center"/>
    </xf>
    <xf fontId="33" fillId="0" borderId="13" xfId="0">
      <alignment vertical="center"/>
    </xf>
    <xf fontId="35" fillId="0" borderId="7" xfId="0">
      <alignment vertical="center"/>
    </xf>
    <xf fontId="35" fillId="0" borderId="0" xfId="0">
      <alignment vertical="center"/>
    </xf>
    <xf numFmtId="0" fontId="35" fillId="0" borderId="0" xfId="0">
      <alignment vertical="center" textRotation="0" indent="0" justifyLastLine="false" shrinkToFit="false"/>
    </xf>
    <xf fontId="39" fillId="0" borderId="0" xfId="0">
      <alignment vertical="center"/>
    </xf>
    <xf fontId="14" fillId="0" borderId="0" xfId="0">
      <alignment vertical="center"/>
    </xf>
    <xf fontId="14" fillId="0" borderId="0" xfId="0">
      <alignment vertical="center" justifyLastLine="false" shrinkToFit="false"/>
    </xf>
    <xf numFmtId="0" fontId="35" fillId="0" borderId="0" xfId="0">
      <alignment vertical="center" textRotation="0" justifyLastLine="false" shrinkToFit="false"/>
    </xf>
    <xf numFmtId="0" fontId="35" fillId="0" borderId="0" xfId="0">
      <alignment vertical="center" textRotation="0"/>
    </xf>
    <xf numFmtId="0" fontId="33" fillId="0" borderId="0" xfId="0">
      <alignment vertical="center" textRotation="0" indent="0" justifyLastLine="false" shrinkToFit="false"/>
    </xf>
    <xf numFmtId="0" fontId="40" fillId="0" borderId="0" xfId="0">
      <alignment vertical="center" textRotation="0" indent="0" justifyLastLine="false" shrinkToFit="false"/>
    </xf>
    <xf fontId="41" fillId="0" borderId="0" xfId="0">
      <alignment vertical="center"/>
    </xf>
    <xf fontId="42" fillId="0" borderId="0" xfId="0">
      <alignment vertical="center"/>
    </xf>
    <xf fontId="31" fillId="0" borderId="0" xfId="0">
      <alignment horizontal="center" vertical="center"/>
    </xf>
    <xf fontId="33" fillId="0" borderId="0" xfId="0">
      <alignment horizontal="center" vertical="center"/>
    </xf>
    <xf fontId="14" fillId="0" borderId="7" xfId="0">
      <alignment horizontal="center" vertical="center"/>
    </xf>
    <xf numFmtId="0" fontId="14" fillId="15" borderId="7" xfId="0">
      <alignment horizontal="center" vertical="center" textRotation="0" wrapText="true" indent="0" justifyLastLine="false" shrinkToFit="false"/>
    </xf>
    <xf numFmtId="0" fontId="14" fillId="0" borderId="7" xfId="0">
      <alignment horizontal="center" vertical="center" textRotation="0" wrapText="true" indent="0" justifyLastLine="false" shrinkToFit="false"/>
    </xf>
    <xf numFmtId="0" fontId="43" fillId="0" borderId="7" xfId="0">
      <alignment horizontal="center" vertical="center" textRotation="0" wrapText="true" indent="0" justifyLastLine="false" shrinkToFit="false"/>
    </xf>
    <xf fontId="44" fillId="0" borderId="0" xfId="0">
      <alignment horizontal="center" vertical="center"/>
    </xf>
    <xf fontId="35" fillId="0" borderId="0" xfId="0">
      <alignment horizontal="center" vertical="center"/>
    </xf>
    <xf numFmtId="0" fontId="35" fillId="0" borderId="7" xfId="0">
      <alignment horizontal="center" vertical="center" textRotation="0" indent="0" justifyLastLine="false" shrinkToFit="false"/>
    </xf>
    <xf numFmtId="3" fontId="35" fillId="0" borderId="7" xfId="0">
      <alignment horizontal="center" vertical="center" textRotation="0" indent="0" justifyLastLine="false" shrinkToFit="false"/>
    </xf>
    <xf numFmtId="3" fontId="35" fillId="0" borderId="7" xfId="0">
      <alignment horizontal="center" vertical="center" textRotation="0" wrapText="true" indent="0" justifyLastLine="false" shrinkToFit="false"/>
    </xf>
    <xf numFmtId="3" fontId="4" fillId="0" borderId="7" xfId="0">
      <alignment horizontal="center" vertical="center" textRotation="0" wrapText="true" indent="0" justifyLastLine="false" shrinkToFit="false"/>
    </xf>
    <xf numFmtId="0" fontId="4" fillId="0" borderId="7" xfId="0">
      <alignment horizontal="center" vertical="center" textRotation="0" indent="0" justifyLastLine="false" shrinkToFit="false"/>
    </xf>
    <xf numFmtId="0" fontId="35" fillId="0" borderId="7" xfId="0">
      <alignment vertical="center" textRotation="0" indent="0" justifyLastLine="false" shrinkToFit="false"/>
    </xf>
    <xf numFmtId="0" fontId="4" fillId="0" borderId="7" xfId="0">
      <alignment vertical="center" textRotation="0" wrapText="true" indent="0" justifyLastLine="false" shrinkToFit="false"/>
    </xf>
    <xf numFmtId="3" fontId="35" fillId="16" borderId="7" xfId="0">
      <alignment horizontal="right" vertical="center" textRotation="0" indent="0" justifyLastLine="false" shrinkToFit="false"/>
    </xf>
    <xf numFmtId="0" fontId="35" fillId="16" borderId="7" xfId="0">
      <alignment horizontal="right" vertical="center" textRotation="0" indent="0" justifyLastLine="false" shrinkToFit="false"/>
    </xf>
    <xf numFmtId="0" fontId="4" fillId="16" borderId="7" xfId="0">
      <alignment horizontal="right" vertical="center" textRotation="0" indent="0" justifyLastLine="false" shrinkToFit="false"/>
    </xf>
    <xf numFmtId="0" fontId="35" fillId="16" borderId="7" xfId="0">
      <alignment vertical="center" textRotation="0" indent="0" justifyLastLine="false" shrinkToFit="false"/>
    </xf>
    <xf numFmtId="3" fontId="44" fillId="0" borderId="0" xfId="0">
      <alignment vertical="center"/>
    </xf>
    <xf numFmtId="3" fontId="33" fillId="0" borderId="0" xfId="0">
      <alignment vertical="center"/>
    </xf>
    <xf numFmtId="3" fontId="14" fillId="0" borderId="0" xfId="0">
      <alignment vertical="center"/>
    </xf>
    <xf numFmtId="3" fontId="35" fillId="0" borderId="0" xfId="0">
      <alignment vertical="center"/>
    </xf>
    <xf numFmtId="3" fontId="35" fillId="0" borderId="7" xfId="0">
      <alignment vertical="center" textRotation="0" indent="0" justifyLastLine="false" shrinkToFit="false"/>
    </xf>
    <xf numFmtId="3" fontId="35" fillId="0" borderId="7" xfId="0">
      <alignment horizontal="right" vertical="center" textRotation="0" indent="0" justifyLastLine="false" shrinkToFit="false"/>
    </xf>
    <xf numFmtId="3" fontId="4" fillId="0" borderId="7" xfId="0">
      <alignment horizontal="right" vertical="center" textRotation="0" indent="0" justifyLastLine="false" shrinkToFit="false"/>
    </xf>
    <xf numFmtId="3" fontId="0" fillId="0" borderId="0" xfId="0">
      <alignment vertical="center"/>
    </xf>
    <xf fontId="14" fillId="8" borderId="7" xfId="0">
      <alignment horizontal="center" vertical="center"/>
    </xf>
    <xf fontId="14" fillId="17" borderId="7" xfId="0">
      <alignment horizontal="center" vertical="center"/>
    </xf>
    <xf numFmtId="0" fontId="14" fillId="15" borderId="11" xfId="0">
      <alignment horizontal="center" vertical="center" textRotation="0" wrapText="true" indent="0" justifyLastLine="false" shrinkToFit="false"/>
    </xf>
    <xf numFmtId="0" fontId="14" fillId="18" borderId="11" xfId="0">
      <alignment horizontal="center" vertical="center" textRotation="0" wrapText="true" indent="0" justifyLastLine="false" shrinkToFit="false"/>
    </xf>
    <xf fontId="28" fillId="8" borderId="7" xfId="0">
      <alignment vertical="center"/>
    </xf>
    <xf fontId="28" fillId="0" borderId="7" xfId="0">
      <alignment vertical="center"/>
    </xf>
    <xf numFmtId="10" fontId="35" fillId="16" borderId="7" xfId="0">
      <alignment horizontal="right" vertical="center" textRotation="0" indent="0" justifyLastLine="false" shrinkToFit="false"/>
    </xf>
    <xf numFmtId="9" fontId="35" fillId="16" borderId="7" xfId="0">
      <alignment horizontal="right" vertical="center" textRotation="0" indent="0" justifyLastLine="false" shrinkToFit="false"/>
    </xf>
    <xf numFmtId="0" fontId="35" fillId="8" borderId="7" xfId="0">
      <alignment horizontal="right" vertical="center" textRotation="0" indent="0" justifyLastLine="false" shrinkToFit="false"/>
    </xf>
    <xf fontId="35" fillId="8" borderId="6" xfId="0">
      <alignment vertical="center"/>
    </xf>
    <xf fontId="35" fillId="0" borderId="6" xfId="0">
      <alignment vertical="center"/>
    </xf>
    <xf fontId="43" fillId="0" borderId="0" xfId="0">
      <alignment horizontal="center" vertical="center"/>
    </xf>
    <xf fontId="0" fillId="0" borderId="0" xfId="0">
      <alignment horizontal="center" vertical="center"/>
    </xf>
    <xf numFmtId="300" fontId="0" fillId="0" borderId="0" xfId="0">
      <alignment vertical="center"/>
    </xf>
    <xf fontId="44" fillId="0" borderId="0" xfId="0">
      <alignment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汇报版本">
    <tabColor/>
  </sheetPr>
  <dimension ref="B161"/>
  <sheetViews>
    <sheetView showGridLines="false" workbookViewId="0"/>
  </sheetViews>
  <sheetFormatPr baseColWidth="13" defaultRowHeight="18" customHeight="true"/>
  <cols>
    <col min="1" max="1" width="13.6719" style="162"/>
    <col min="2" max="2" width="13.6719" style="92"/>
    <col min="3" max="3" width="27.7812" style="23" customWidth="true"/>
    <col min="4" max="4" width="20.7734" style="95" customWidth="true"/>
    <col min="5" max="6" width="27.7812" style="95" customWidth="true"/>
    <col min="7" max="8" width="30.4844" style="95" customWidth="true"/>
    <col min="9" max="12" width="30.4844" style="97" customWidth="true"/>
    <col min="13" max="13" width="27.7812" style="97" customWidth="true"/>
    <col min="14" max="15" width="26.1641" customWidth="true"/>
  </cols>
  <sheetData>
    <row r="1" spans="1:26" ht="26.25" customHeight="true"/>
    <row r="2" spans="1:1" ht="26.25" customHeight="true">
      <c r="A2" s="90" t="s">
        <v>597</v>
      </c>
    </row>
    <row r="3" spans="1:2" ht="26.25" customHeight="true">
      <c r="A3" s="91" t="s">
        <v>835</v>
      </c>
      <c r="B3" s="92" t="s"/>
    </row>
    <row r="4" spans="1:2" ht="26.25" customHeight="true">
      <c r="A4" s="93" t="s"/>
      <c r="B4" s="92" t="s"/>
    </row>
    <row r="5" spans="1:2" ht="26.25" customHeight="true">
      <c r="A5" s="93" t="s"/>
      <c r="B5" s="92" t="s">
        <v>836</v>
      </c>
    </row>
    <row r="6" spans="1:2" ht="26.25" customHeight="true">
      <c r="A6" s="93" t="s"/>
      <c r="B6" s="94" t="s">
        <v>837</v>
      </c>
    </row>
    <row r="7" spans="1:4" ht="26.25" customHeight="true">
      <c r="A7" s="93" t="s"/>
      <c r="C7" s="23" t="s">
        <v>838</v>
      </c>
      <c r="D7" s="95" t="s"/>
    </row>
    <row r="8" spans="1:4" ht="26.25" customHeight="true">
      <c r="A8" s="93" t="s"/>
      <c r="C8" s="23" t="s">
        <v>839</v>
      </c>
      <c r="D8" s="95" t="s"/>
    </row>
    <row r="9" spans="1:4" ht="26.25" customHeight="true">
      <c r="A9" s="93" t="s"/>
      <c r="C9" s="96" t="s">
        <v>840</v>
      </c>
      <c r="D9" s="95" t="s"/>
    </row>
    <row r="10" spans="1:1" ht="26.25" customHeight="true">
      <c r="A10" s="93" t="s"/>
    </row>
    <row r="11" spans="1:2" ht="26.25" customHeight="true">
      <c r="A11" s="93" t="s"/>
      <c r="B11" s="92" t="s">
        <v>841</v>
      </c>
    </row>
    <row r="12" spans="1:2" ht="26.25" customHeight="true">
      <c r="A12" s="93" t="s"/>
      <c r="B12" s="94" t="s">
        <v>842</v>
      </c>
    </row>
    <row r="13" spans="1:9" ht="26.25" customHeight="true">
      <c r="A13" s="93" t="s"/>
      <c r="C13" s="23" t="s">
        <v>843</v>
      </c>
      <c r="I13" s="97" t="s"/>
    </row>
    <row r="14" spans="1:3" ht="26.25" customHeight="true">
      <c r="A14" s="93" t="s"/>
      <c r="C14" s="23" t="s">
        <v>844</v>
      </c>
    </row>
    <row r="15" spans="1:3" ht="26.25" customHeight="true">
      <c r="A15" s="93" t="s"/>
      <c r="C15" s="23" t="s">
        <v>845</v>
      </c>
    </row>
    <row r="16" spans="1:1" ht="26.25" customHeight="true">
      <c r="A16" s="93" t="s"/>
    </row>
    <row r="17" spans="1:2" ht="26.25" customHeight="true">
      <c r="A17" s="93" t="s"/>
      <c r="B17" s="98" t="s">
        <v>846</v>
      </c>
    </row>
    <row r="18" spans="1:10" ht="26.25" customHeight="true">
      <c r="A18" s="93" t="s"/>
      <c r="B18" s="92" t="s"/>
      <c r="C18" s="23" t="s">
        <v>847</v>
      </c>
      <c r="D18" s="95" t="s"/>
      <c r="E18" s="95" t="s"/>
      <c r="F18" s="95" t="s"/>
      <c r="G18" s="95" t="s"/>
      <c r="H18" s="95" t="s"/>
      <c r="I18" s="97" t="s"/>
      <c r="J18" s="97" t="s"/>
    </row>
    <row r="19" spans="1:10" ht="26.25" customHeight="true">
      <c r="A19" s="93" t="s"/>
      <c r="B19" s="92" t="s"/>
      <c r="C19" s="23" t="s">
        <v>848</v>
      </c>
      <c r="D19" s="95" t="s"/>
      <c r="E19" s="95" t="s"/>
      <c r="F19" s="95" t="s"/>
      <c r="G19" s="95" t="s"/>
      <c r="H19" s="95" t="s"/>
      <c r="I19" s="97" t="s"/>
      <c r="J19" s="97" t="s"/>
    </row>
    <row r="20" spans="1:10" ht="26.25" customHeight="true">
      <c r="A20" s="93" t="s"/>
      <c r="B20" s="92" t="s"/>
      <c r="C20" s="23" t="s">
        <v>849</v>
      </c>
      <c r="D20" s="95" t="s"/>
      <c r="E20" s="95" t="s"/>
      <c r="F20" s="95" t="s"/>
      <c r="G20" s="95" t="s"/>
      <c r="H20" s="95" t="s"/>
      <c r="I20" s="97" t="s"/>
      <c r="J20" s="97" t="s"/>
    </row>
    <row r="21" spans="1:3" ht="26.25" customHeight="true">
      <c r="A21" s="93" t="s"/>
      <c r="B21" s="92" t="s"/>
      <c r="C21" s="29" t="s">
        <v>850</v>
      </c>
    </row>
    <row r="22" spans="1:2" ht="26.25" customHeight="true">
      <c r="A22" s="93" t="s"/>
      <c r="B22" s="92" t="s"/>
    </row>
    <row r="23" spans="1:9" ht="54.75" customHeight="true">
      <c r="A23" s="90" t="s"/>
      <c r="D23" s="99" t="s">
        <v>851</v>
      </c>
      <c r="E23" s="100" t="s">
        <v>683</v>
      </c>
      <c r="F23" s="100" t="s">
        <v>684</v>
      </c>
      <c r="G23" s="100" t="s">
        <v>685</v>
      </c>
      <c r="H23" s="100" t="s">
        <v>686</v>
      </c>
      <c r="I23" s="100" t="s">
        <v>687</v>
      </c>
    </row>
    <row r="24" spans="1:9" ht="54.75" customHeight="true">
      <c r="A24" s="90" t="s"/>
      <c r="D24" s="100" t="s">
        <v>683</v>
      </c>
      <c r="E24" s="101" t="s"/>
      <c r="F24" s="102" t="s">
        <v>688</v>
      </c>
      <c r="G24" s="101" t="s"/>
      <c r="H24" s="102" t="s">
        <v>689</v>
      </c>
      <c r="I24" s="63" t="s"/>
    </row>
    <row r="25" spans="1:9" ht="54.75" customHeight="true">
      <c r="A25" s="90" t="s"/>
      <c r="D25" s="100" t="s">
        <v>684</v>
      </c>
      <c r="E25" s="102" t="s">
        <v>690</v>
      </c>
      <c r="F25" s="101" t="s"/>
      <c r="G25" s="102" t="s">
        <v>691</v>
      </c>
      <c r="H25" s="103" t="s"/>
      <c r="I25" s="102" t="s">
        <v>692</v>
      </c>
    </row>
    <row r="26" spans="1:9" ht="54.75" customHeight="true">
      <c r="A26" s="90" t="s"/>
      <c r="D26" s="100" t="s">
        <v>685</v>
      </c>
      <c r="E26" s="102" t="s">
        <v>693</v>
      </c>
      <c r="F26" s="102" t="s">
        <v>694</v>
      </c>
      <c r="G26" s="101" t="s"/>
      <c r="H26" s="104" t="s"/>
      <c r="I26" s="101" t="s"/>
    </row>
    <row r="27" spans="1:9" ht="54.75" customHeight="true">
      <c r="A27" s="90" t="s"/>
      <c r="D27" s="100" t="s">
        <v>695</v>
      </c>
      <c r="E27" s="102" t="s">
        <v>696</v>
      </c>
      <c r="F27" s="102" t="s">
        <v>697</v>
      </c>
      <c r="G27" s="104" t="s"/>
      <c r="H27" s="101" t="s"/>
      <c r="I27" s="104" t="s"/>
    </row>
    <row r="28" spans="1:9" ht="54.75" customHeight="true">
      <c r="A28" s="90" t="s"/>
      <c r="D28" s="100" t="s">
        <v>687</v>
      </c>
      <c r="E28" s="102" t="s">
        <v>698</v>
      </c>
      <c r="F28" s="101" t="s"/>
      <c r="G28" s="101" t="s"/>
      <c r="H28" s="101" t="s"/>
      <c r="I28" s="101" t="s"/>
    </row>
    <row r="29" spans="1:1">
      <c r="A29" s="90" t="s"/>
    </row>
    <row r="30" spans="1:6" ht="26.25" customHeight="true">
      <c r="A30" s="90" t="s">
        <v>598</v>
      </c>
      <c r="B30" s="92" t="s"/>
      <c r="C30" s="23" t="s"/>
      <c r="D30" s="95" t="s"/>
      <c r="E30" s="95" t="s"/>
      <c r="F30" s="95" t="s"/>
    </row>
    <row r="31" spans="1:6" ht="26.25" customHeight="true">
      <c r="A31" s="91" t="s">
        <v>852</v>
      </c>
      <c r="B31" s="92" t="s"/>
      <c r="C31" s="23" t="s"/>
      <c r="D31" s="95" t="s"/>
      <c r="E31" s="95" t="s"/>
      <c r="F31" s="95" t="s"/>
    </row>
    <row r="32" spans="1:6" ht="26.25" customHeight="true">
      <c r="A32" s="93" t="s"/>
      <c r="B32" s="92" t="s"/>
      <c r="C32" s="23" t="s"/>
      <c r="D32" s="95" t="s"/>
      <c r="E32" s="95" t="s"/>
      <c r="F32" s="95" t="s"/>
    </row>
    <row r="33" spans="1:6" ht="26.25" customHeight="true">
      <c r="A33" s="93" t="s"/>
      <c r="B33" s="92" t="s">
        <v>853</v>
      </c>
      <c r="C33" s="23" t="s"/>
      <c r="D33" s="95" t="s"/>
      <c r="E33" s="95" t="s"/>
      <c r="F33" s="95" t="s"/>
    </row>
    <row r="34" spans="1:10" ht="26.25" customHeight="true">
      <c r="A34" s="93" t="s"/>
      <c r="C34" s="105" t="s"/>
      <c r="D34" s="23" t="s"/>
      <c r="E34" s="23" t="s"/>
      <c r="F34" s="23" t="s"/>
      <c r="G34" s="23" t="s"/>
      <c r="H34" s="23" t="s"/>
      <c r="I34" s="23" t="s"/>
      <c r="J34" s="23" t="s"/>
    </row>
    <row r="35" spans="1:10" ht="26.25" customHeight="true">
      <c r="A35" s="93" t="s"/>
      <c r="C35" s="106" t="s">
        <v>854</v>
      </c>
      <c r="D35" s="107" t="s">
        <v>855</v>
      </c>
      <c r="E35" s="63" t="s"/>
      <c r="F35" s="63" t="s"/>
      <c r="G35" s="63" t="s"/>
      <c r="H35" s="63" t="s"/>
      <c r="I35" s="63" t="s"/>
      <c r="J35" s="63" t="s"/>
    </row>
    <row r="36" spans="1:10" ht="26.25" customHeight="true">
      <c r="A36" s="93" t="s"/>
      <c r="C36" s="108" t="s"/>
      <c r="D36" s="107" t="s">
        <v>856</v>
      </c>
      <c r="E36" s="109" t="s"/>
      <c r="F36" s="109" t="s"/>
      <c r="G36" s="63" t="s"/>
      <c r="H36" s="63" t="s"/>
      <c r="I36" s="63" t="s"/>
      <c r="J36" s="63" t="s"/>
    </row>
    <row r="37" spans="1:10" ht="26.25" customHeight="true">
      <c r="A37" s="93" t="s"/>
      <c r="C37" s="108" t="s"/>
      <c r="D37" s="107" t="s">
        <v>857</v>
      </c>
      <c r="E37" s="109" t="s"/>
      <c r="F37" s="109" t="s"/>
      <c r="G37" s="63" t="s"/>
      <c r="H37" s="63" t="s"/>
      <c r="I37" s="63" t="s"/>
      <c r="J37" s="63" t="s"/>
    </row>
    <row r="38" spans="1:10" ht="26.25" customHeight="true">
      <c r="A38" s="93" t="s"/>
      <c r="C38" s="108" t="s"/>
      <c r="D38" s="107" t="s">
        <v>858</v>
      </c>
      <c r="E38" s="109" t="s"/>
      <c r="F38" s="109" t="s"/>
      <c r="G38" s="63" t="s"/>
      <c r="H38" s="63" t="s"/>
      <c r="I38" s="63" t="s"/>
      <c r="J38" s="63" t="s"/>
    </row>
    <row r="39" spans="1:6" ht="26.25" customHeight="true">
      <c r="A39" s="93" t="s"/>
      <c r="C39" s="23" t="s"/>
      <c r="D39" s="95" t="s"/>
      <c r="E39" s="95" t="s"/>
      <c r="F39" s="95" t="s"/>
    </row>
    <row r="40" spans="1:6" ht="26.25" customHeight="true">
      <c r="A40" s="93" t="s"/>
      <c r="C40" s="23" t="s">
        <v>859</v>
      </c>
      <c r="D40" s="95" t="s"/>
      <c r="E40" s="95" t="s"/>
      <c r="F40" s="95" t="s"/>
    </row>
    <row r="41" spans="1:6" ht="26.25" customHeight="true">
      <c r="A41" s="93" t="s"/>
      <c r="B41" s="92" t="s"/>
      <c r="C41" s="96" t="s">
        <v>860</v>
      </c>
      <c r="D41" s="110" t="s"/>
      <c r="E41" s="95" t="s"/>
      <c r="F41" s="95" t="s"/>
    </row>
    <row r="42" spans="1:6" ht="26.25" customHeight="true">
      <c r="A42" s="93" t="s"/>
      <c r="B42" s="92" t="s"/>
      <c r="C42" s="23" t="s"/>
      <c r="D42" s="111" t="s">
        <v>861</v>
      </c>
      <c r="E42" s="110" t="s"/>
      <c r="F42" s="95" t="s"/>
    </row>
    <row r="43" spans="1:6" ht="26.25" customHeight="true">
      <c r="A43" s="93" t="s"/>
      <c r="B43" s="92" t="s"/>
      <c r="C43" s="23" t="s"/>
      <c r="D43" s="95" t="s"/>
      <c r="E43" s="111" t="s">
        <v>862</v>
      </c>
      <c r="F43" s="110" t="s"/>
    </row>
    <row r="44" spans="1:6" ht="26.25" customHeight="true">
      <c r="A44" s="93" t="s"/>
      <c r="B44" s="92" t="s"/>
      <c r="C44" s="23" t="s"/>
      <c r="D44" s="95" t="s"/>
      <c r="E44" s="111" t="s">
        <v>863</v>
      </c>
      <c r="F44" s="110" t="s"/>
    </row>
    <row r="45" spans="1:6" ht="26.25" customHeight="true">
      <c r="A45" s="93" t="s"/>
      <c r="B45" s="92" t="s"/>
      <c r="C45" s="23" t="s"/>
      <c r="D45" s="95" t="s"/>
      <c r="E45" s="110" t="s"/>
      <c r="F45" s="111" t="s">
        <v>864</v>
      </c>
    </row>
    <row r="46" spans="1:6" ht="26.25" customHeight="true">
      <c r="A46" s="93" t="s"/>
      <c r="B46" s="92" t="s"/>
      <c r="C46" s="23" t="s"/>
      <c r="D46" s="95" t="s"/>
      <c r="E46" s="110" t="s"/>
      <c r="F46" s="111" t="s">
        <v>865</v>
      </c>
    </row>
    <row r="47" spans="1:6" ht="26.25" customHeight="true">
      <c r="A47" s="112" t="s"/>
      <c r="B47" s="92" t="s"/>
      <c r="C47" s="23" t="s"/>
      <c r="D47" s="95" t="s"/>
      <c r="E47" s="110" t="s"/>
      <c r="F47" s="111" t="s">
        <v>866</v>
      </c>
    </row>
    <row r="48" spans="1:6" ht="26.25" customHeight="true">
      <c r="A48" s="112" t="s"/>
      <c r="B48" s="92" t="s"/>
      <c r="C48" s="23" t="s"/>
      <c r="D48" s="95" t="s"/>
      <c r="E48" s="111" t="s">
        <v>867</v>
      </c>
      <c r="F48" s="110" t="s"/>
    </row>
    <row r="49" spans="2:6" ht="26.25" customHeight="true">
      <c r="B49" s="92" t="s"/>
      <c r="C49" s="113" t="s"/>
      <c r="D49" s="111" t="s"/>
      <c r="E49" s="111" t="s">
        <v>868</v>
      </c>
      <c r="F49" s="95" t="s"/>
    </row>
    <row r="50" spans="2:6" ht="26.25" customHeight="true">
      <c r="B50" s="92" t="s"/>
      <c r="C50" s="113" t="s"/>
      <c r="D50" s="111" t="s"/>
      <c r="E50" s="95" t="s"/>
      <c r="F50" s="95" t="s"/>
    </row>
    <row r="51" spans="2:6" ht="26.25" customHeight="true">
      <c r="B51" s="92" t="s"/>
      <c r="C51" s="113" t="s"/>
      <c r="D51" s="111" t="s">
        <v>869</v>
      </c>
      <c r="E51" s="95" t="s"/>
      <c r="F51" s="95" t="s"/>
    </row>
    <row r="52" spans="1:6" ht="26.25" customHeight="true">
      <c r="A52" s="112" t="s"/>
      <c r="B52" s="92" t="s"/>
      <c r="C52" s="114" t="s"/>
      <c r="D52" s="95" t="s"/>
      <c r="E52" s="115" t="s">
        <v>870</v>
      </c>
      <c r="F52" s="95" t="s"/>
    </row>
    <row r="53" spans="1:6" ht="26.25" customHeight="true">
      <c r="A53" s="112" t="s"/>
      <c r="B53" s="92" t="s"/>
      <c r="C53" s="113" t="s"/>
      <c r="D53" s="95" t="s"/>
      <c r="E53" s="116" t="s">
        <v>871</v>
      </c>
      <c r="F53" s="95" t="s"/>
    </row>
    <row r="54" spans="2:6" ht="26.25" customHeight="true">
      <c r="B54" s="92" t="s"/>
      <c r="C54" s="23" t="s"/>
      <c r="D54" s="95" t="s"/>
      <c r="E54" s="111" t="s">
        <v>872</v>
      </c>
      <c r="F54" s="95" t="s"/>
    </row>
    <row r="55" spans="2:6" ht="26.25" customHeight="true">
      <c r="B55" s="92" t="s"/>
      <c r="C55" s="23" t="s"/>
      <c r="D55" s="95" t="s"/>
      <c r="E55" s="95" t="s"/>
      <c r="F55" s="95" t="s"/>
    </row>
    <row r="56" spans="2:6" ht="26.25" customHeight="true">
      <c r="B56" s="92" t="s"/>
      <c r="C56" s="23" t="s">
        <v>873</v>
      </c>
      <c r="D56" s="95" t="s"/>
      <c r="E56" s="110" t="s"/>
      <c r="F56" s="95" t="s"/>
    </row>
    <row r="57" spans="2:6" ht="26.25" customHeight="true">
      <c r="B57" s="92" t="s"/>
      <c r="C57" s="23" t="s"/>
      <c r="D57" s="111" t="s">
        <v>874</v>
      </c>
      <c r="E57" s="110" t="s"/>
      <c r="F57" s="95" t="s"/>
    </row>
    <row r="58" spans="2:6" ht="26.25" customHeight="true">
      <c r="B58" s="92" t="s"/>
      <c r="C58" s="23" t="s"/>
      <c r="D58" s="95" t="s"/>
      <c r="E58" s="111" t="s">
        <v>875</v>
      </c>
      <c r="F58" s="95" t="s"/>
    </row>
    <row r="59" spans="2:6" ht="26.25" customHeight="true">
      <c r="B59" s="92" t="s"/>
      <c r="C59" s="23" t="s"/>
      <c r="D59" s="95" t="s"/>
      <c r="E59" s="111" t="s">
        <v>876</v>
      </c>
      <c r="F59" s="95" t="s"/>
    </row>
    <row r="60" spans="2:6" ht="26.25" customHeight="true">
      <c r="B60" s="92" t="s"/>
      <c r="C60" s="23" t="s"/>
      <c r="D60" s="111" t="s">
        <v>869</v>
      </c>
      <c r="E60" s="111" t="s"/>
      <c r="F60" s="95" t="s"/>
    </row>
    <row r="61" spans="2:6" ht="26.25" customHeight="true">
      <c r="B61" s="92" t="s"/>
      <c r="C61" s="23" t="s"/>
      <c r="D61" s="111" t="s"/>
      <c r="E61" s="95" t="s">
        <v>877</v>
      </c>
      <c r="F61" s="95" t="s"/>
    </row>
    <row r="62" spans="2:6" ht="26.25" customHeight="true">
      <c r="B62" s="92" t="s"/>
      <c r="C62" s="23" t="s"/>
      <c r="D62" s="95" t="s"/>
      <c r="E62" s="95" t="s">
        <v>878</v>
      </c>
      <c r="F62" s="95" t="s"/>
    </row>
    <row r="63" spans="2:6" ht="26.25" customHeight="true">
      <c r="B63" s="92" t="s"/>
      <c r="C63" s="23" t="s"/>
      <c r="D63" s="95" t="s"/>
      <c r="E63" s="95" t="s">
        <v>879</v>
      </c>
      <c r="F63" s="95" t="s"/>
    </row>
    <row r="64" spans="2:6" ht="26.25" customHeight="true">
      <c r="B64" s="92" t="s"/>
      <c r="C64" s="23" t="s"/>
      <c r="D64" s="95" t="s"/>
      <c r="E64" s="95" t="s">
        <v>880</v>
      </c>
      <c r="F64" s="95" t="s"/>
    </row>
    <row r="65" spans="2:6" ht="26.25" customHeight="true">
      <c r="B65" s="92" t="s"/>
      <c r="C65" s="23" t="s"/>
      <c r="D65" s="95" t="s"/>
      <c r="E65" s="95" t="s"/>
      <c r="F65" s="95" t="s"/>
    </row>
    <row r="66" spans="2:6" ht="26.25" customHeight="true">
      <c r="B66" s="92" t="s"/>
      <c r="C66" s="96" t="s">
        <v>881</v>
      </c>
      <c r="D66" s="110" t="s"/>
      <c r="E66" s="95" t="s"/>
      <c r="F66" s="95" t="s"/>
    </row>
    <row r="67" spans="2:6" ht="26.25" customHeight="true">
      <c r="B67" s="92" t="s"/>
      <c r="C67" s="113" t="s"/>
      <c r="D67" s="111" t="s">
        <v>882</v>
      </c>
      <c r="E67" s="95" t="s"/>
      <c r="F67" s="95" t="s"/>
    </row>
    <row r="68" spans="2:6" ht="26.25" customHeight="true">
      <c r="B68" s="92" t="s"/>
      <c r="C68" s="113" t="s"/>
      <c r="D68" s="111" t="s">
        <v>883</v>
      </c>
      <c r="E68" s="95" t="s"/>
      <c r="F68" s="95" t="s"/>
    </row>
    <row r="69" spans="2:6" ht="26.25" customHeight="true">
      <c r="B69" s="92" t="s"/>
      <c r="C69" s="113" t="s"/>
      <c r="D69" s="111" t="s"/>
      <c r="E69" s="95" t="s"/>
      <c r="F69" s="95" t="s"/>
    </row>
    <row r="70" spans="2:6" ht="26.25" customHeight="true">
      <c r="B70" s="92" t="s">
        <v>884</v>
      </c>
      <c r="C70" s="23" t="s"/>
      <c r="D70" s="95" t="s"/>
      <c r="E70" s="95" t="s"/>
      <c r="F70" s="95" t="s"/>
    </row>
    <row r="71" spans="2:6" ht="26.25" customHeight="true">
      <c r="B71" s="92" t="s"/>
      <c r="C71" s="23" t="s">
        <v>885</v>
      </c>
      <c r="D71" s="95" t="s"/>
      <c r="E71" s="95" t="s"/>
      <c r="F71" s="95" t="s"/>
    </row>
    <row r="72" spans="2:6" ht="26.25" customHeight="true">
      <c r="B72" s="92" t="s"/>
      <c r="C72" s="23" t="s">
        <v>886</v>
      </c>
      <c r="D72" s="95" t="s"/>
      <c r="E72" s="95" t="s"/>
      <c r="F72" s="95" t="s"/>
    </row>
    <row r="73" spans="2:6" ht="26.25" customHeight="true">
      <c r="B73" s="92" t="s"/>
      <c r="C73" s="23" t="s">
        <v>887</v>
      </c>
      <c r="D73" s="95" t="s"/>
      <c r="E73" s="95" t="s"/>
      <c r="F73" s="95" t="s"/>
    </row>
    <row r="74" spans="2:6" ht="26.25" customHeight="true">
      <c r="B74" s="92" t="s"/>
      <c r="C74" s="23" t="s"/>
      <c r="D74" s="95" t="s"/>
      <c r="E74" s="95" t="s"/>
      <c r="F74" s="95" t="s"/>
    </row>
    <row r="75" spans="2:6" ht="26.25" customHeight="true">
      <c r="B75" s="117" t="s">
        <v>888</v>
      </c>
      <c r="C75" s="23" t="s"/>
      <c r="D75" s="95" t="s"/>
      <c r="E75" s="95" t="s"/>
      <c r="F75" s="95" t="s"/>
    </row>
    <row r="76" spans="2:6" ht="26.25" customHeight="true">
      <c r="B76" s="98" t="s">
        <v>889</v>
      </c>
      <c r="C76" s="23" t="s"/>
      <c r="D76" s="95" t="s"/>
      <c r="E76" s="95" t="s"/>
      <c r="F76" s="95" t="s"/>
    </row>
    <row r="77" spans="1:26" ht="26.25" customHeight="true"/>
    <row r="78" spans="1:1" ht="26.25" customHeight="true">
      <c r="A78" s="90" t="s">
        <v>600</v>
      </c>
    </row>
    <row r="79" spans="1:1" ht="26.25" customHeight="true">
      <c r="A79" s="91" t="s">
        <v>890</v>
      </c>
    </row>
    <row r="80" spans="2:2" ht="26.25" customHeight="true">
      <c r="B80" s="92" t="s"/>
    </row>
    <row r="81" spans="2:2" ht="26.25" customHeight="true">
      <c r="B81" s="98" t="s">
        <v>891</v>
      </c>
    </row>
    <row r="82" spans="3:3" ht="26.25" customHeight="true">
      <c r="C82" s="29" t="s">
        <v>892</v>
      </c>
    </row>
    <row r="83" spans="3:3" ht="26.25" customHeight="true">
      <c r="C83" s="29" t="s">
        <v>893</v>
      </c>
    </row>
    <row r="84" spans="3:3" ht="26.25" customHeight="true">
      <c r="C84" s="29" t="s">
        <v>894</v>
      </c>
    </row>
    <row r="85" spans="1:26" ht="26.25" customHeight="true"/>
    <row r="86" spans="2:2" ht="26.25" customHeight="true">
      <c r="B86" s="98" t="s">
        <v>895</v>
      </c>
    </row>
    <row r="87" spans="3:3" ht="26.25" customHeight="true">
      <c r="C87" s="29" t="s">
        <v>896</v>
      </c>
    </row>
    <row r="88" spans="4:5" ht="26.25" customHeight="true">
      <c r="D88" s="111" t="s">
        <v>769</v>
      </c>
      <c r="E88" s="110" t="s"/>
    </row>
    <row r="89" spans="1:5" ht="26.25" customHeight="true">
      <c r="A89" s="93" t="s"/>
      <c r="D89" s="111" t="s">
        <v>770</v>
      </c>
      <c r="E89" s="110" t="s"/>
    </row>
    <row r="90" spans="4:5" ht="26.25" customHeight="true">
      <c r="D90" s="110" t="s"/>
      <c r="E90" s="111" t="s">
        <v>771</v>
      </c>
    </row>
    <row r="91" spans="1:5" ht="26.25" customHeight="true">
      <c r="A91" s="93" t="s"/>
      <c r="D91" s="110" t="s"/>
      <c r="E91" s="118" t="s">
        <v>897</v>
      </c>
    </row>
    <row r="92" spans="4:5" ht="26.25" customHeight="true">
      <c r="D92" s="110" t="s"/>
      <c r="E92" s="111" t="s">
        <v>773</v>
      </c>
    </row>
    <row r="93" spans="4:5" ht="26.25" customHeight="true">
      <c r="D93" s="110" t="s"/>
      <c r="E93" s="110" t="s"/>
    </row>
    <row r="94" spans="4:5" ht="26.25" customHeight="true">
      <c r="D94" s="111" t="s">
        <v>774</v>
      </c>
      <c r="E94" s="110" t="s"/>
    </row>
    <row r="95" spans="4:5" ht="26.25" customHeight="true">
      <c r="D95" s="111" t="s">
        <v>775</v>
      </c>
      <c r="E95" s="110" t="s"/>
    </row>
    <row r="96" spans="4:5" ht="26.25" customHeight="true">
      <c r="D96" s="110" t="s"/>
      <c r="E96" s="111" t="s">
        <v>776</v>
      </c>
    </row>
    <row r="97" spans="4:5" ht="26.25" customHeight="true">
      <c r="D97" s="110" t="s"/>
      <c r="E97" s="118" t="s">
        <v>898</v>
      </c>
    </row>
    <row r="98" spans="4:5" ht="26.25" customHeight="true">
      <c r="D98" s="110" t="s"/>
      <c r="E98" s="118" t="s">
        <v>899</v>
      </c>
    </row>
    <row r="99" spans="4:5" ht="26.25" customHeight="true">
      <c r="D99" s="110" t="s"/>
      <c r="E99" s="110" t="s"/>
    </row>
    <row r="100" spans="4:5" ht="26.25" customHeight="true">
      <c r="D100" s="111" t="s">
        <v>779</v>
      </c>
      <c r="E100" s="110" t="s"/>
    </row>
    <row r="101" spans="4:5" ht="26.25" customHeight="true">
      <c r="D101" s="111" t="s">
        <v>900</v>
      </c>
      <c r="E101" s="110" t="s"/>
    </row>
    <row r="102" spans="4:5" ht="26.25" customHeight="true">
      <c r="D102" s="110" t="s"/>
      <c r="E102" s="111" t="s">
        <v>781</v>
      </c>
    </row>
    <row r="103" spans="4:5" ht="26.25" customHeight="true">
      <c r="D103" s="110" t="s"/>
      <c r="E103" s="118" t="s">
        <v>901</v>
      </c>
    </row>
    <row r="104" spans="4:5" ht="26.25" customHeight="true">
      <c r="D104" s="110" t="s"/>
      <c r="E104" s="111" t="s">
        <v>783</v>
      </c>
    </row>
    <row r="105" spans="4:5" ht="26.25" customHeight="true">
      <c r="D105" s="110" t="s"/>
      <c r="E105" s="119" t="s">
        <v>902</v>
      </c>
    </row>
    <row r="106" spans="5:5" ht="26.25" customHeight="true">
      <c r="E106" s="118" t="s">
        <v>903</v>
      </c>
    </row>
    <row r="107" spans="1:26" ht="26.25" customHeight="true"/>
    <row r="108" spans="4:4" ht="26.25" customHeight="true">
      <c r="D108" s="120" t="s">
        <v>904</v>
      </c>
    </row>
    <row r="109" spans="5:5" ht="26.25" customHeight="true">
      <c r="E109" s="120" t="s">
        <v>905</v>
      </c>
    </row>
    <row r="110" spans="1:26" ht="26.25" customHeight="true"/>
    <row r="111" spans="4:4" ht="26.25" customHeight="true">
      <c r="D111" s="120" t="s">
        <v>906</v>
      </c>
    </row>
    <row r="112" spans="4:5" ht="26.25" customHeight="true">
      <c r="D112" s="95" t="s"/>
      <c r="E112" s="120" t="s">
        <v>907</v>
      </c>
    </row>
    <row r="113" spans="1:15" s="159" customFormat="true">
      <c r="A113" s="121" t="s"/>
      <c r="B113" s="122" t="s"/>
      <c r="C113" s="65" t="s"/>
      <c r="D113" s="65" t="s"/>
      <c r="E113" s="123" t="s"/>
      <c r="F113" s="124" t="s">
        <v>908</v>
      </c>
      <c r="G113" s="125" t="s">
        <v>909</v>
      </c>
      <c r="H113" s="63" t="s"/>
      <c r="I113" s="125" t="s">
        <v>910</v>
      </c>
      <c r="J113" s="124" t="s">
        <v>911</v>
      </c>
      <c r="K113" s="125" t="s">
        <v>912</v>
      </c>
      <c r="L113" s="63" t="s"/>
      <c r="M113" s="124" t="s">
        <v>913</v>
      </c>
      <c r="N113" s="126" t="s">
        <v>914</v>
      </c>
      <c r="O113" s="63" t="s"/>
    </row>
    <row r="114" spans="1:15" s="160" customFormat="true" ht="43.5" customHeight="true">
      <c r="A114" s="127" t="s"/>
      <c r="B114" s="122" t="s"/>
      <c r="C114" s="65" t="s"/>
      <c r="D114" s="128" t="s"/>
      <c r="E114" s="129" t="s">
        <v>915</v>
      </c>
      <c r="F114" s="130" t="s">
        <v>916</v>
      </c>
      <c r="G114" s="131" t="s">
        <v>917</v>
      </c>
      <c r="H114" s="63" t="s"/>
      <c r="I114" s="130" t="s">
        <v>918</v>
      </c>
      <c r="J114" s="130" t="s">
        <v>916</v>
      </c>
      <c r="K114" s="131" t="s">
        <v>917</v>
      </c>
      <c r="L114" s="63" t="s"/>
      <c r="M114" s="130" t="s">
        <v>916</v>
      </c>
      <c r="N114" s="132" t="s">
        <v>917</v>
      </c>
      <c r="O114" s="63" t="s"/>
    </row>
    <row r="115" spans="1:15" s="160" customFormat="true">
      <c r="A115" s="127" t="s"/>
      <c r="B115" s="122" t="s"/>
      <c r="C115" s="65" t="s"/>
      <c r="D115" s="128" t="s"/>
      <c r="E115" s="129" t="s">
        <v>919</v>
      </c>
      <c r="F115" s="130" t="s">
        <v>920</v>
      </c>
      <c r="G115" s="130" t="s">
        <v>921</v>
      </c>
      <c r="H115" s="130" t="s">
        <v>922</v>
      </c>
      <c r="I115" s="130" t="s">
        <v>923</v>
      </c>
      <c r="J115" s="130" t="s">
        <v>920</v>
      </c>
      <c r="K115" s="129" t="s">
        <v>924</v>
      </c>
      <c r="L115" s="129" t="s">
        <v>925</v>
      </c>
      <c r="M115" s="130" t="s">
        <v>920</v>
      </c>
      <c r="N115" s="133" t="s">
        <v>924</v>
      </c>
      <c r="O115" s="133" t="s">
        <v>925</v>
      </c>
    </row>
    <row r="116" spans="5:15" ht="137.25" customHeight="true">
      <c r="E116" s="134" t="s">
        <v>799</v>
      </c>
      <c r="F116" s="134" t="s">
        <v>800</v>
      </c>
      <c r="G116" s="102" t="s">
        <v>926</v>
      </c>
      <c r="H116" s="134" t="s">
        <v>927</v>
      </c>
      <c r="I116" s="134" t="s">
        <v>928</v>
      </c>
      <c r="J116" s="134" t="s">
        <v>800</v>
      </c>
      <c r="K116" s="102" t="s">
        <v>929</v>
      </c>
      <c r="L116" s="63" t="s"/>
      <c r="M116" s="134" t="s">
        <v>800</v>
      </c>
      <c r="N116" s="135" t="s">
        <v>929</v>
      </c>
      <c r="O116" s="63" t="s"/>
    </row>
    <row r="117" spans="1:15">
      <c r="A117" s="90" t="s"/>
      <c r="E117" s="103" t="s"/>
      <c r="F117" s="136">
        <v>100000</v>
      </c>
      <c r="G117" s="137">
        <v>50</v>
      </c>
      <c r="H117" s="136">
        <v>3</v>
      </c>
      <c r="I117" s="137">
        <v>13</v>
      </c>
      <c r="J117" s="136">
        <v>200000</v>
      </c>
      <c r="K117" s="137">
        <v>100</v>
      </c>
      <c r="L117" s="137">
        <v>50</v>
      </c>
      <c r="M117" s="136">
        <v>200000</v>
      </c>
      <c r="N117" s="138">
        <v>100</v>
      </c>
      <c r="O117" s="138">
        <v>50</v>
      </c>
    </row>
    <row r="118" spans="1:15" s="160" customFormat="true">
      <c r="A118" s="121" t="s"/>
      <c r="B118" s="122" t="s"/>
      <c r="C118" s="65" t="s"/>
      <c r="D118" s="128" t="s"/>
      <c r="E118" s="103" t="s"/>
      <c r="F118" s="129" t="s">
        <v>806</v>
      </c>
      <c r="G118" s="129" t="s">
        <v>807</v>
      </c>
      <c r="H118" s="129" t="s">
        <v>807</v>
      </c>
      <c r="I118" s="129" t="s">
        <v>930</v>
      </c>
      <c r="J118" s="129" t="s">
        <v>806</v>
      </c>
      <c r="K118" s="129" t="s">
        <v>808</v>
      </c>
      <c r="L118" s="129" t="s">
        <v>808</v>
      </c>
      <c r="M118" s="129" t="s">
        <v>806</v>
      </c>
      <c r="N118" s="133" t="s">
        <v>808</v>
      </c>
      <c r="O118" s="133" t="s">
        <v>808</v>
      </c>
    </row>
    <row r="119" spans="5:15">
      <c r="E119" s="103" t="s"/>
      <c r="F119" s="137">
        <v>2</v>
      </c>
      <c r="G119" s="137">
        <v>600</v>
      </c>
      <c r="H119" s="136">
        <v>5000</v>
      </c>
      <c r="I119" s="139">
        <v>1600</v>
      </c>
      <c r="J119" s="137">
        <v>2</v>
      </c>
      <c r="K119" s="137">
        <v>300</v>
      </c>
      <c r="L119" s="137">
        <v>1600</v>
      </c>
      <c r="M119" s="137">
        <v>2</v>
      </c>
      <c r="N119" s="138">
        <v>300</v>
      </c>
      <c r="O119" s="138">
        <v>1600</v>
      </c>
    </row>
    <row r="120" spans="1:26" s="161" customFormat="true">
      <c r="A120" s="140" t="s"/>
      <c r="B120" s="141" t="s"/>
      <c r="C120" s="142" t="s"/>
      <c r="D120" s="143" t="s"/>
      <c r="E120" s="144" t="s">
        <v>809</v>
      </c>
      <c r="F120" s="145">
        <f>=F119*F117</f>
        <v>200000</v>
      </c>
      <c r="G120" s="145">
        <f>=G119*G117</f>
        <v>30000</v>
      </c>
      <c r="H120" s="145">
        <f>=H119*H117</f>
        <v>15000</v>
      </c>
      <c r="I120" s="145">
        <f>=I119*I117</f>
        <v>20800</v>
      </c>
      <c r="J120" s="145">
        <f>=J119*J117</f>
        <v>400000</v>
      </c>
      <c r="K120" s="145">
        <f>=K119*K117</f>
        <v>30000</v>
      </c>
      <c r="L120" s="145">
        <f>=L119*L117</f>
        <v>80000</v>
      </c>
      <c r="M120" s="145">
        <f>=M119*M117</f>
        <v>400000</v>
      </c>
      <c r="N120" s="146">
        <f>=N119*N117</f>
        <v>30000</v>
      </c>
      <c r="O120" s="146">
        <f>=O119*O117</f>
        <v>80000</v>
      </c>
      <c r="P120" s="147" t="s"/>
      <c r="Q120" s="147" t="s"/>
      <c r="R120" s="147" t="s"/>
      <c r="S120" s="147" t="s"/>
      <c r="T120" s="147" t="s"/>
      <c r="U120" s="147" t="s"/>
      <c r="V120" s="147" t="s"/>
      <c r="W120" s="147" t="s"/>
      <c r="X120" s="147" t="s"/>
      <c r="Y120" s="147" t="s"/>
      <c r="Z120" s="147" t="s"/>
    </row>
    <row r="121" spans="5:6">
      <c r="E121" s="120" t="s">
        <v>931</v>
      </c>
      <c r="F121" s="95">
        <f>=SUM(F120:O120)</f>
        <v>1285800</v>
      </c>
    </row>
    <row r="122" spans="5:6">
      <c r="E122" s="120" t="s"/>
      <c r="F122" s="95" t="s"/>
    </row>
    <row r="123" spans="4:6">
      <c r="D123" s="120" t="s">
        <v>932</v>
      </c>
      <c r="E123" s="120" t="s"/>
      <c r="F123" s="95" t="s"/>
    </row>
    <row r="124" spans="5:6">
      <c r="E124" s="95" t="s">
        <v>933</v>
      </c>
      <c r="F124" s="95" t="s"/>
    </row>
    <row r="125" spans="5:13">
      <c r="E125" s="148" t="s"/>
      <c r="F125" s="124" t="s">
        <v>934</v>
      </c>
      <c r="G125" s="63" t="s"/>
      <c r="H125" s="63" t="s"/>
      <c r="I125" s="63" t="s"/>
      <c r="J125" s="124" t="s">
        <v>935</v>
      </c>
      <c r="K125" s="63" t="s"/>
      <c r="L125" s="63" t="s"/>
      <c r="M125" s="63" t="s"/>
    </row>
    <row r="126" spans="5:13">
      <c r="E126" s="149" t="s"/>
      <c r="F126" s="150" t="s">
        <v>936</v>
      </c>
      <c r="G126" s="151" t="s">
        <v>937</v>
      </c>
      <c r="H126" s="151" t="s">
        <v>938</v>
      </c>
      <c r="I126" s="151" t="s">
        <v>939</v>
      </c>
      <c r="J126" s="150" t="s">
        <v>936</v>
      </c>
      <c r="K126" s="151" t="s">
        <v>937</v>
      </c>
      <c r="L126" s="151" t="s">
        <v>938</v>
      </c>
      <c r="M126" s="151" t="s">
        <v>939</v>
      </c>
    </row>
    <row r="127" spans="5:13" ht="41.25" customHeight="true">
      <c r="E127" s="129" t="s">
        <v>915</v>
      </c>
      <c r="F127" s="130" t="s">
        <v>916</v>
      </c>
      <c r="G127" s="131" t="s">
        <v>917</v>
      </c>
      <c r="H127" s="63" t="s"/>
      <c r="I127" s="130" t="s">
        <v>918</v>
      </c>
      <c r="J127" s="130" t="s">
        <v>916</v>
      </c>
      <c r="K127" s="131" t="s">
        <v>917</v>
      </c>
      <c r="L127" s="63" t="s"/>
      <c r="M127" s="130" t="s">
        <v>918</v>
      </c>
    </row>
    <row r="128" spans="5:13" ht="41.25" customHeight="true">
      <c r="E128" s="129" t="s">
        <v>919</v>
      </c>
      <c r="F128" s="130" t="s">
        <v>920</v>
      </c>
      <c r="G128" s="130" t="s">
        <v>921</v>
      </c>
      <c r="H128" s="130" t="s">
        <v>922</v>
      </c>
      <c r="I128" s="130" t="s">
        <v>923</v>
      </c>
      <c r="J128" s="130" t="s">
        <v>920</v>
      </c>
      <c r="K128" s="130" t="s">
        <v>921</v>
      </c>
      <c r="L128" s="130" t="s">
        <v>922</v>
      </c>
      <c r="M128" s="130" t="s">
        <v>923</v>
      </c>
    </row>
    <row r="129" spans="5:13" ht="138" customHeight="true">
      <c r="E129" s="134" t="s">
        <v>799</v>
      </c>
      <c r="F129" s="134" t="s">
        <v>800</v>
      </c>
      <c r="G129" s="102" t="s">
        <v>926</v>
      </c>
      <c r="H129" s="134" t="s">
        <v>927</v>
      </c>
      <c r="I129" s="134" t="s">
        <v>940</v>
      </c>
      <c r="J129" s="134" t="s">
        <v>800</v>
      </c>
      <c r="K129" s="102" t="s">
        <v>941</v>
      </c>
      <c r="L129" s="102" t="s">
        <v>942</v>
      </c>
      <c r="M129" s="134" t="s">
        <v>943</v>
      </c>
    </row>
    <row r="130" spans="5:13" ht="30" customHeight="true">
      <c r="E130" s="152" t="s"/>
      <c r="F130" s="136">
        <v>100000</v>
      </c>
      <c r="G130" s="137">
        <v>200</v>
      </c>
      <c r="H130" s="136">
        <v>4</v>
      </c>
      <c r="I130" s="137">
        <v>4</v>
      </c>
      <c r="J130" s="136">
        <v>33333</v>
      </c>
      <c r="K130" s="137">
        <v>200</v>
      </c>
      <c r="L130" s="136">
        <v>12</v>
      </c>
      <c r="M130" s="137">
        <v>4</v>
      </c>
    </row>
    <row r="131" spans="5:13" ht="30" customHeight="true">
      <c r="E131" s="153" t="s"/>
      <c r="F131" s="129" t="s">
        <v>806</v>
      </c>
      <c r="G131" s="129" t="s">
        <v>807</v>
      </c>
      <c r="H131" s="129" t="s">
        <v>807</v>
      </c>
      <c r="I131" s="129" t="s">
        <v>930</v>
      </c>
      <c r="J131" s="129" t="s">
        <v>806</v>
      </c>
      <c r="K131" s="129" t="s">
        <v>807</v>
      </c>
      <c r="L131" s="129" t="s">
        <v>807</v>
      </c>
      <c r="M131" s="129" t="s">
        <v>930</v>
      </c>
    </row>
    <row r="132" spans="5:13" ht="30" customHeight="true">
      <c r="E132" s="152" t="s"/>
      <c r="F132" s="137">
        <v>2</v>
      </c>
      <c r="G132" s="137">
        <v>600</v>
      </c>
      <c r="H132" s="136">
        <v>5000</v>
      </c>
      <c r="I132" s="139">
        <v>1600</v>
      </c>
      <c r="J132" s="137">
        <v>1</v>
      </c>
      <c r="K132" s="137">
        <v>600</v>
      </c>
      <c r="L132" s="136">
        <v>5000</v>
      </c>
      <c r="M132" s="139">
        <v>1600</v>
      </c>
    </row>
    <row r="133" spans="1:26" s="161" customFormat="true" ht="30" customHeight="true">
      <c r="A133" s="140" t="s"/>
      <c r="B133" s="141" t="s"/>
      <c r="C133" s="142" t="s"/>
      <c r="D133" s="143" t="s"/>
      <c r="E133" s="144" t="s">
        <v>809</v>
      </c>
      <c r="F133" s="145">
        <f>=F132*F130</f>
        <v>200000</v>
      </c>
      <c r="G133" s="145">
        <f>=G132*G130</f>
        <v>120000</v>
      </c>
      <c r="H133" s="145">
        <f>=H132*H130</f>
        <v>20000</v>
      </c>
      <c r="I133" s="145">
        <f>=I132*I130</f>
        <v>6400</v>
      </c>
      <c r="J133" s="145">
        <f>=J132*J130</f>
        <v>33333</v>
      </c>
      <c r="K133" s="145">
        <f>=K132*K130</f>
        <v>120000</v>
      </c>
      <c r="L133" s="145">
        <f>=L132*L130</f>
        <v>60000</v>
      </c>
      <c r="M133" s="145">
        <f>=M132*M130</f>
        <v>6400</v>
      </c>
      <c r="N133" s="147" t="s"/>
      <c r="O133" s="147" t="s"/>
      <c r="P133" s="147" t="s"/>
      <c r="Q133" s="147" t="s"/>
      <c r="R133" s="147" t="s"/>
      <c r="S133" s="147" t="s"/>
      <c r="T133" s="147" t="s"/>
      <c r="U133" s="147" t="s"/>
      <c r="V133" s="147" t="s"/>
      <c r="W133" s="147" t="s"/>
      <c r="X133" s="147" t="s"/>
      <c r="Y133" s="147" t="s"/>
      <c r="Z133" s="147" t="s"/>
    </row>
    <row r="134" spans="5:12">
      <c r="E134" s="120" t="s">
        <v>931</v>
      </c>
      <c r="F134" s="143">
        <f>=SUM(F133:I133)</f>
        <v>346400</v>
      </c>
      <c r="G134" s="143">
        <f>=F134*1.5</f>
        <v>519600</v>
      </c>
      <c r="H134" s="95" t="s"/>
      <c r="J134" s="143">
        <f>=SUM(J133:M133)</f>
        <v>219733</v>
      </c>
      <c r="K134" s="143">
        <f>=J134*1.5</f>
        <v>329599.5</v>
      </c>
      <c r="L134" s="97" t="s"/>
    </row>
    <row r="135" spans="5:6">
      <c r="E135" s="95" t="s"/>
      <c r="F135" s="95" t="s"/>
    </row>
    <row r="136" spans="4:6">
      <c r="D136" s="120" t="s">
        <v>944</v>
      </c>
      <c r="E136" s="95" t="s"/>
      <c r="F136" s="95" t="s"/>
    </row>
    <row r="137" spans="5:11">
      <c r="E137" s="111" t="s">
        <v>759</v>
      </c>
      <c r="F137" s="110" t="s"/>
      <c r="G137" s="110" t="s"/>
      <c r="H137" s="110" t="s"/>
      <c r="I137" s="110" t="s"/>
      <c r="J137" s="110" t="s"/>
      <c r="K137" s="110" t="s"/>
    </row>
    <row r="138" spans="5:10">
      <c r="E138" s="100" t="s">
        <v>760</v>
      </c>
      <c r="F138" s="129" t="s">
        <v>761</v>
      </c>
      <c r="G138" s="129" t="s">
        <v>762</v>
      </c>
      <c r="H138" s="129" t="s">
        <v>763</v>
      </c>
      <c r="I138" s="129" t="s">
        <v>764</v>
      </c>
      <c r="J138" s="129" t="s">
        <v>945</v>
      </c>
    </row>
    <row r="139" spans="5:10">
      <c r="E139" s="154">
        <v>0.015</v>
      </c>
      <c r="F139" s="137">
        <f>=E139*40000000</f>
        <v>600000</v>
      </c>
      <c r="G139" s="155">
        <v>0.03</v>
      </c>
      <c r="H139" s="156">
        <f>=G139*F139</f>
        <v>18000</v>
      </c>
      <c r="I139" s="145">
        <f>=H139*15</f>
        <v>270000</v>
      </c>
      <c r="J139" s="145">
        <f>=I139*6</f>
        <v>1620000</v>
      </c>
    </row>
    <row r="140" spans="5:10">
      <c r="E140" s="110" t="s"/>
      <c r="F140" s="110" t="s"/>
      <c r="G140" s="157" t="s"/>
      <c r="H140" s="157" t="s"/>
      <c r="I140" s="157" t="s"/>
      <c r="J140" s="158" t="s"/>
    </row>
    <row r="141" spans="5:10">
      <c r="E141" s="111" t="s">
        <v>765</v>
      </c>
      <c r="F141" s="110" t="s"/>
      <c r="G141" s="110" t="s"/>
      <c r="H141" s="110" t="s"/>
      <c r="I141" s="110" t="s"/>
      <c r="J141" s="110" t="s"/>
    </row>
    <row r="142" spans="5:10">
      <c r="E142" s="129" t="s">
        <v>761</v>
      </c>
      <c r="F142" s="129" t="s">
        <v>762</v>
      </c>
      <c r="G142" s="129" t="s">
        <v>763</v>
      </c>
      <c r="H142" s="129" t="s">
        <v>764</v>
      </c>
      <c r="I142" s="129" t="s">
        <v>945</v>
      </c>
      <c r="J142" s="110" t="s"/>
    </row>
    <row r="143" spans="5:10">
      <c r="E143" s="136">
        <f>=25000*30</f>
        <v>750000</v>
      </c>
      <c r="F143" s="155">
        <v>0.03</v>
      </c>
      <c r="G143" s="145">
        <f>=F143*E143</f>
        <v>22500</v>
      </c>
      <c r="H143" s="145">
        <f>=G143*15</f>
        <v>337500</v>
      </c>
      <c r="I143" s="145">
        <f>=H143*6</f>
        <v>2025000</v>
      </c>
      <c r="J143" s="110" t="s"/>
    </row>
    <row r="144" spans="5:10">
      <c r="E144" s="110" t="s"/>
      <c r="J144" s="158" t="s"/>
    </row>
    <row r="145" spans="5:5">
      <c r="E145" s="110" t="s"/>
    </row>
    <row r="146" spans="5:6">
      <c r="E146" s="95" t="s"/>
      <c r="F146" s="95" t="s"/>
    </row>
    <row r="147" spans="1:1">
      <c r="A147" s="90" t="s">
        <v>602</v>
      </c>
    </row>
    <row r="148" spans="2:2">
      <c r="B148" s="92" t="s">
        <v>946</v>
      </c>
    </row>
    <row r="149" spans="2:2">
      <c r="B149" s="98" t="s">
        <v>947</v>
      </c>
    </row>
    <row r="151" spans="2:2">
      <c r="B151" s="98" t="s">
        <v>948</v>
      </c>
    </row>
    <row r="152" spans="2:2">
      <c r="B152" s="98" t="s">
        <v>949</v>
      </c>
    </row>
    <row r="154" spans="2:2">
      <c r="B154" s="98" t="s">
        <v>950</v>
      </c>
    </row>
    <row r="155" spans="2:2">
      <c r="B155" s="98" t="s">
        <v>951</v>
      </c>
    </row>
    <row r="157" spans="2:2">
      <c r="B157" s="98" t="s">
        <v>952</v>
      </c>
    </row>
    <row r="158" spans="2:2">
      <c r="B158" s="98" t="s">
        <v>953</v>
      </c>
    </row>
    <row r="160" spans="2:2">
      <c r="B160" s="98" t="s">
        <v>954</v>
      </c>
    </row>
    <row r="161" spans="2:2">
      <c r="B161" s="98" t="s">
        <v>951</v>
      </c>
    </row>
  </sheetData>
  <mergeCells count="21">
    <mergeCell ref="H24:I24"/>
    <mergeCell ref="G25:H25"/>
    <mergeCell ref="E116:E119"/>
    <mergeCell ref="G113:H113"/>
    <mergeCell ref="G114:H114"/>
    <mergeCell ref="K114:L114"/>
    <mergeCell ref="K116:L116"/>
    <mergeCell ref="K113:L113"/>
    <mergeCell ref="N113:O113"/>
    <mergeCell ref="N114:O114"/>
    <mergeCell ref="N116:O116"/>
    <mergeCell ref="E129:E132"/>
    <mergeCell ref="F125:I125"/>
    <mergeCell ref="G127:H127"/>
    <mergeCell ref="K127:L127"/>
    <mergeCell ref="J125:M125"/>
    <mergeCell ref="C35:C38"/>
    <mergeCell ref="D35:J35"/>
    <mergeCell ref="D36:J36"/>
    <mergeCell ref="D37:J37"/>
    <mergeCell ref="D38:J38"/>
  </mergeCells>
</worksheet>
</file>

<file path=xl/worksheets/sheet2.xml><?xml version="1.0" encoding="utf-8"?>
<worksheet xmlns="http://schemas.openxmlformats.org/spreadsheetml/2006/main">
  <sheetPr codeName="整体方案"/>
  <dimension ref="E242"/>
  <sheetViews>
    <sheetView showGridLines="false" workbookViewId="0"/>
  </sheetViews>
  <cols>
    <col min="1" max="1" width="7.28125" style="23" customWidth="true"/>
    <col min="2" max="3" width="7.28125" style="25" customWidth="true"/>
    <col min="4" max="4" width="26.5742" style="25" customWidth="true"/>
    <col min="5" max="5" width="27.3828" style="25" customWidth="true"/>
    <col min="6" max="14" width="26.5742" style="25" customWidth="true"/>
    <col min="15" max="15" width="23.0625" style="25" customWidth="true"/>
    <col min="16" max="26" width="13.6719" style="25"/>
  </cols>
  <sheetData>
    <row r="1" spans="1:1">
      <c r="A1" s="23" t="s"/>
    </row>
    <row r="2" spans="1:1">
      <c r="A2" s="23" t="s">
        <v>597</v>
      </c>
    </row>
    <row r="3" spans="1:1">
      <c r="A3" s="23" t="s"/>
    </row>
    <row r="4" spans="1:1">
      <c r="A4" s="23" t="s"/>
    </row>
    <row r="5" spans="1:1">
      <c r="A5" s="23" t="s"/>
    </row>
    <row r="6" spans="1:1">
      <c r="A6" s="23" t="s">
        <v>598</v>
      </c>
    </row>
    <row r="7" spans="1:1">
      <c r="A7" s="23" t="s"/>
    </row>
    <row r="8" spans="1:1">
      <c r="A8" s="23" t="s">
        <v>599</v>
      </c>
    </row>
    <row r="9" spans="1:1">
      <c r="A9" s="23" t="s"/>
    </row>
    <row r="10" spans="1:1">
      <c r="A10" s="23" t="s">
        <v>600</v>
      </c>
    </row>
    <row r="11" spans="1:1">
      <c r="A11" s="23" t="s"/>
    </row>
    <row r="12" spans="1:1">
      <c r="A12" s="23" t="s">
        <v>601</v>
      </c>
    </row>
    <row r="13" spans="1:1">
      <c r="A13" s="23" t="s"/>
    </row>
    <row r="14" spans="1:1">
      <c r="A14" s="23" t="s">
        <v>602</v>
      </c>
    </row>
    <row r="15" spans="1:1">
      <c r="A15" s="23" t="s"/>
    </row>
    <row r="16" spans="1:1">
      <c r="A16" s="23" t="s">
        <v>603</v>
      </c>
    </row>
    <row r="17" spans="2:2">
      <c r="B17" s="24" t="s">
        <v>604</v>
      </c>
    </row>
    <row r="18" spans="3:3">
      <c r="C18" s="25" t="s">
        <v>605</v>
      </c>
    </row>
    <row r="19" spans="3:3">
      <c r="C19" s="25" t="s">
        <v>606</v>
      </c>
    </row>
    <row r="20" spans="3:3">
      <c r="C20" s="25" t="s">
        <v>607</v>
      </c>
    </row>
    <row r="21" spans="3:3">
      <c r="C21" s="26" t="s">
        <v>608</v>
      </c>
    </row>
    <row r="22" spans="2:4">
      <c r="B22" s="24" t="s">
        <v>609</v>
      </c>
      <c r="C22" s="25" t="s"/>
      <c r="D22" s="25" t="s"/>
    </row>
    <row r="23" spans="2:4">
      <c r="B23" s="25" t="s"/>
      <c r="C23" s="27" t="s">
        <v>610</v>
      </c>
      <c r="D23" s="25" t="s"/>
    </row>
    <row r="24" spans="2:4">
      <c r="B24" s="25" t="s"/>
      <c r="C24" s="27" t="s">
        <v>611</v>
      </c>
      <c r="D24" s="25" t="s"/>
    </row>
    <row r="25" spans="2:4">
      <c r="B25" s="25" t="s"/>
      <c r="C25" s="25" t="s"/>
      <c r="D25" s="27" t="s">
        <v>612</v>
      </c>
    </row>
    <row r="26" spans="2:4">
      <c r="B26" s="25" t="s"/>
      <c r="C26" s="25" t="s"/>
      <c r="D26" s="27" t="s">
        <v>613</v>
      </c>
    </row>
    <row r="27" spans="2:4">
      <c r="B27" s="25" t="s"/>
      <c r="C27" s="25" t="s"/>
      <c r="D27" s="27" t="s">
        <v>614</v>
      </c>
    </row>
    <row r="28" spans="2:4">
      <c r="B28" s="25" t="s"/>
      <c r="C28" s="27" t="s">
        <v>615</v>
      </c>
      <c r="D28" s="25" t="s"/>
    </row>
    <row r="29" spans="1:1">
      <c r="A29" s="23" t="s"/>
    </row>
    <row r="30" spans="1:1">
      <c r="A30" s="23" t="s"/>
    </row>
    <row r="31" spans="1:1">
      <c r="A31" s="28" t="s">
        <v>616</v>
      </c>
    </row>
    <row r="32" spans="2:2">
      <c r="B32" s="26" t="s">
        <v>617</v>
      </c>
    </row>
    <row r="33" spans="3:3">
      <c r="C33" s="25" t="s">
        <v>618</v>
      </c>
    </row>
    <row r="34" spans="1:4">
      <c r="A34" s="29" t="s"/>
      <c r="D34" s="25" t="s">
        <v>619</v>
      </c>
    </row>
    <row r="35" spans="4:4">
      <c r="D35" s="25" t="s">
        <v>620</v>
      </c>
    </row>
    <row r="36" spans="4:4">
      <c r="D36" s="25" t="s">
        <v>621</v>
      </c>
    </row>
    <row r="37" spans="4:4">
      <c r="D37" s="25" t="s">
        <v>622</v>
      </c>
    </row>
    <row r="39" spans="3:3">
      <c r="C39" s="25" t="s">
        <v>623</v>
      </c>
    </row>
    <row r="40" spans="4:4">
      <c r="D40" s="25" t="s">
        <v>624</v>
      </c>
    </row>
    <row r="41" spans="4:4">
      <c r="D41" s="25" t="s">
        <v>625</v>
      </c>
    </row>
    <row r="42" spans="4:4">
      <c r="D42" s="25" t="s">
        <v>626</v>
      </c>
    </row>
    <row r="43" spans="4:4">
      <c r="D43" s="25" t="s">
        <v>627</v>
      </c>
    </row>
    <row r="44" spans="1:26">
      <c r="A44" s="23" t="s"/>
      <c r="B44" s="26" t="s">
        <v>628</v>
      </c>
      <c r="C44" s="25" t="s"/>
      <c r="D44" s="25" t="s"/>
      <c r="E44" s="25" t="s"/>
      <c r="F44" s="25" t="s"/>
      <c r="G44" s="25" t="s"/>
      <c r="H44" s="25" t="s"/>
      <c r="I44" s="25" t="s"/>
      <c r="J44" s="25" t="s"/>
      <c r="K44" s="25" t="s"/>
      <c r="L44" s="25" t="s"/>
      <c r="M44" s="25" t="s"/>
      <c r="N44" s="25" t="s"/>
      <c r="O44" s="25" t="s"/>
      <c r="P44" s="25" t="s"/>
      <c r="Q44" s="25" t="s"/>
      <c r="R44" s="25" t="s"/>
      <c r="S44" s="25" t="s"/>
      <c r="T44" s="25" t="s"/>
      <c r="U44" s="25" t="s"/>
      <c r="V44" s="25" t="s"/>
      <c r="W44" s="25" t="s"/>
      <c r="X44" s="25" t="s"/>
      <c r="Y44" s="25" t="s"/>
      <c r="Z44" s="25" t="s"/>
    </row>
    <row r="45" spans="1:26">
      <c r="A45" s="23" t="s"/>
      <c r="B45" s="25" t="s"/>
      <c r="C45" s="25" t="s">
        <v>629</v>
      </c>
      <c r="D45" s="25" t="s"/>
      <c r="E45" s="25" t="s"/>
      <c r="F45" s="25" t="s"/>
      <c r="G45" s="25" t="s"/>
      <c r="H45" s="25" t="s"/>
      <c r="I45" s="25" t="s"/>
      <c r="J45" s="25" t="s"/>
      <c r="K45" s="25" t="s"/>
      <c r="L45" s="25" t="s"/>
      <c r="M45" s="25" t="s"/>
      <c r="N45" s="25" t="s"/>
      <c r="O45" s="25" t="s"/>
      <c r="P45" s="25" t="s"/>
      <c r="Q45" s="25" t="s"/>
      <c r="R45" s="25" t="s"/>
      <c r="S45" s="25" t="s"/>
      <c r="T45" s="25" t="s"/>
      <c r="U45" s="25" t="s"/>
      <c r="V45" s="25" t="s"/>
      <c r="W45" s="25" t="s"/>
      <c r="X45" s="25" t="s"/>
      <c r="Y45" s="25" t="s"/>
      <c r="Z45" s="25" t="s"/>
    </row>
    <row r="46" spans="1:26">
      <c r="A46" s="23" t="s"/>
      <c r="B46" s="25" t="s"/>
      <c r="C46" s="25" t="s">
        <v>630</v>
      </c>
      <c r="D46" s="25" t="s"/>
      <c r="E46" s="25" t="s"/>
      <c r="F46" s="25" t="s"/>
      <c r="G46" s="25" t="s"/>
      <c r="H46" s="25" t="s"/>
      <c r="I46" s="25" t="s"/>
      <c r="J46" s="25" t="s"/>
      <c r="K46" s="25" t="s"/>
      <c r="L46" s="25" t="s"/>
      <c r="M46" s="25" t="s"/>
      <c r="N46" s="25" t="s"/>
      <c r="O46" s="25" t="s"/>
      <c r="P46" s="25" t="s"/>
      <c r="Q46" s="25" t="s"/>
      <c r="R46" s="25" t="s"/>
      <c r="S46" s="25" t="s"/>
      <c r="T46" s="25" t="s"/>
      <c r="U46" s="25" t="s"/>
      <c r="V46" s="25" t="s"/>
      <c r="W46" s="25" t="s"/>
      <c r="X46" s="25" t="s"/>
      <c r="Y46" s="25" t="s"/>
      <c r="Z46" s="25" t="s"/>
    </row>
    <row r="47" spans="1:26">
      <c r="A47" s="23" t="s"/>
      <c r="B47" s="30" t="s"/>
      <c r="C47" s="31" t="s">
        <v>631</v>
      </c>
      <c r="D47" s="31" t="s"/>
      <c r="E47" s="31" t="s"/>
      <c r="F47" s="31" t="s"/>
      <c r="G47" s="31" t="s"/>
      <c r="H47" s="25" t="s"/>
      <c r="I47" s="25" t="s"/>
      <c r="J47" s="25" t="s"/>
      <c r="K47" s="25" t="s"/>
      <c r="L47" s="25" t="s"/>
      <c r="M47" s="25" t="s"/>
      <c r="N47" s="25" t="s"/>
      <c r="O47" s="25" t="s"/>
      <c r="P47" s="25" t="s"/>
      <c r="Q47" s="25" t="s"/>
      <c r="R47" s="25" t="s"/>
      <c r="S47" s="25" t="s"/>
      <c r="T47" s="25" t="s"/>
      <c r="U47" s="25" t="s"/>
      <c r="V47" s="25" t="s"/>
      <c r="W47" s="25" t="s"/>
      <c r="X47" s="25" t="s"/>
      <c r="Y47" s="25" t="s"/>
      <c r="Z47" s="25" t="s"/>
    </row>
    <row r="48" spans="1:26">
      <c r="A48" s="23" t="s"/>
      <c r="B48" s="31" t="s"/>
      <c r="C48" s="30" t="s">
        <v>632</v>
      </c>
      <c r="D48" s="31" t="s"/>
      <c r="E48" s="30" t="s"/>
      <c r="F48" s="31" t="s"/>
      <c r="G48" s="31" t="s"/>
      <c r="H48" s="25" t="s"/>
      <c r="I48" s="25" t="s"/>
      <c r="J48" s="25" t="s"/>
      <c r="K48" s="25" t="s"/>
      <c r="L48" s="25" t="s"/>
      <c r="M48" s="25" t="s"/>
      <c r="N48" s="25" t="s"/>
      <c r="O48" s="25" t="s"/>
      <c r="P48" s="25" t="s"/>
      <c r="Q48" s="25" t="s"/>
      <c r="R48" s="25" t="s"/>
      <c r="S48" s="25" t="s"/>
      <c r="T48" s="25" t="s"/>
      <c r="U48" s="25" t="s"/>
      <c r="V48" s="25" t="s"/>
      <c r="W48" s="25" t="s"/>
      <c r="X48" s="25" t="s"/>
      <c r="Y48" s="25" t="s"/>
      <c r="Z48" s="25" t="s"/>
    </row>
    <row r="49" spans="1:26">
      <c r="A49" s="23" t="s"/>
      <c r="B49" s="31" t="s"/>
      <c r="C49" s="31" t="s"/>
      <c r="D49" s="30" t="s">
        <v>633</v>
      </c>
      <c r="E49" s="31" t="s"/>
      <c r="F49" s="31" t="s"/>
      <c r="G49" s="31" t="s"/>
      <c r="H49" s="25" t="s"/>
      <c r="I49" s="25" t="s"/>
      <c r="J49" s="25" t="s"/>
      <c r="K49" s="25" t="s"/>
      <c r="L49" s="25" t="s"/>
      <c r="M49" s="25" t="s"/>
      <c r="N49" s="25" t="s"/>
      <c r="O49" s="25" t="s"/>
      <c r="P49" s="25" t="s"/>
      <c r="Q49" s="25" t="s"/>
      <c r="R49" s="25" t="s"/>
      <c r="S49" s="25" t="s"/>
      <c r="T49" s="25" t="s"/>
      <c r="U49" s="25" t="s"/>
      <c r="V49" s="25" t="s"/>
      <c r="W49" s="25" t="s"/>
      <c r="X49" s="25" t="s"/>
      <c r="Y49" s="25" t="s"/>
      <c r="Z49" s="25" t="s"/>
    </row>
    <row r="50" spans="1:26">
      <c r="A50" s="23" t="s"/>
      <c r="B50" s="31" t="s"/>
      <c r="C50" s="31" t="s"/>
      <c r="D50" s="31" t="s">
        <v>634</v>
      </c>
      <c r="E50" s="30" t="s"/>
      <c r="F50" s="31" t="s"/>
      <c r="G50" s="30" t="s"/>
      <c r="H50" s="25" t="s"/>
      <c r="I50" s="25" t="s"/>
      <c r="J50" s="25" t="s"/>
      <c r="K50" s="25" t="s"/>
      <c r="L50" s="25" t="s"/>
      <c r="M50" s="25" t="s"/>
      <c r="N50" s="25" t="s"/>
      <c r="O50" s="25" t="s"/>
      <c r="P50" s="25" t="s"/>
      <c r="Q50" s="25" t="s"/>
      <c r="R50" s="25" t="s"/>
      <c r="S50" s="25" t="s"/>
      <c r="T50" s="25" t="s"/>
      <c r="U50" s="25" t="s"/>
      <c r="V50" s="25" t="s"/>
      <c r="W50" s="25" t="s"/>
      <c r="X50" s="25" t="s"/>
      <c r="Y50" s="25" t="s"/>
      <c r="Z50" s="25" t="s"/>
    </row>
    <row r="51" spans="1:26">
      <c r="A51" s="23" t="s"/>
      <c r="B51" s="31" t="s"/>
      <c r="C51" s="31" t="s"/>
      <c r="D51" s="31" t="s">
        <v>635</v>
      </c>
      <c r="E51" s="31" t="s"/>
      <c r="F51" s="30" t="s"/>
      <c r="G51" s="31" t="s"/>
      <c r="H51" s="25" t="s"/>
      <c r="I51" s="25" t="s"/>
      <c r="J51" s="25" t="s"/>
      <c r="K51" s="25" t="s"/>
      <c r="L51" s="25" t="s"/>
      <c r="M51" s="25" t="s"/>
      <c r="N51" s="25" t="s"/>
      <c r="O51" s="25" t="s"/>
      <c r="P51" s="25" t="s"/>
      <c r="Q51" s="25" t="s"/>
      <c r="R51" s="25" t="s"/>
      <c r="S51" s="25" t="s"/>
      <c r="T51" s="25" t="s"/>
      <c r="U51" s="25" t="s"/>
      <c r="V51" s="25" t="s"/>
      <c r="W51" s="25" t="s"/>
      <c r="X51" s="25" t="s"/>
      <c r="Y51" s="25" t="s"/>
      <c r="Z51" s="25" t="s"/>
    </row>
    <row r="52" spans="1:26">
      <c r="A52" s="23" t="s"/>
      <c r="B52" s="31" t="s"/>
      <c r="C52" s="31" t="s"/>
      <c r="D52" s="30" t="s"/>
      <c r="E52" s="30" t="s"/>
      <c r="F52" s="30" t="s"/>
      <c r="G52" s="30" t="s"/>
      <c r="H52" s="25" t="s"/>
      <c r="I52" s="25" t="s"/>
      <c r="J52" s="25" t="s"/>
      <c r="K52" s="25" t="s"/>
      <c r="L52" s="25" t="s"/>
      <c r="M52" s="25" t="s"/>
      <c r="N52" s="25" t="s"/>
      <c r="O52" s="25" t="s"/>
      <c r="P52" s="25" t="s"/>
      <c r="Q52" s="25" t="s"/>
      <c r="R52" s="25" t="s"/>
      <c r="S52" s="25" t="s"/>
      <c r="T52" s="25" t="s"/>
      <c r="U52" s="25" t="s"/>
      <c r="V52" s="25" t="s"/>
      <c r="W52" s="25" t="s"/>
      <c r="X52" s="25" t="s"/>
      <c r="Y52" s="25" t="s"/>
      <c r="Z52" s="25" t="s"/>
    </row>
    <row r="53" spans="1:26">
      <c r="A53" s="23" t="s"/>
      <c r="B53" s="25" t="s"/>
      <c r="C53" s="25" t="s"/>
      <c r="D53" s="25" t="s"/>
      <c r="E53" s="25" t="s"/>
      <c r="F53" s="25" t="s"/>
      <c r="G53" s="25" t="s"/>
      <c r="H53" s="25" t="s"/>
      <c r="I53" s="25" t="s"/>
      <c r="J53" s="25" t="s"/>
      <c r="K53" s="25" t="s"/>
      <c r="L53" s="25" t="s"/>
      <c r="M53" s="25" t="s"/>
      <c r="N53" s="25" t="s"/>
      <c r="O53" s="25" t="s"/>
      <c r="P53" s="25" t="s"/>
      <c r="Q53" s="25" t="s"/>
      <c r="R53" s="25" t="s"/>
      <c r="S53" s="25" t="s"/>
      <c r="T53" s="25" t="s"/>
      <c r="U53" s="25" t="s"/>
      <c r="V53" s="25" t="s"/>
      <c r="W53" s="25" t="s"/>
      <c r="X53" s="25" t="s"/>
      <c r="Y53" s="25" t="s"/>
      <c r="Z53" s="25" t="s"/>
    </row>
    <row r="54" spans="1:26">
      <c r="A54" s="23" t="s"/>
      <c r="B54" s="25" t="s"/>
      <c r="C54" s="25" t="s">
        <v>636</v>
      </c>
      <c r="D54" s="25" t="s"/>
      <c r="E54" s="25" t="s"/>
      <c r="F54" s="25" t="s"/>
      <c r="G54" s="25" t="s"/>
      <c r="H54" s="25" t="s"/>
      <c r="I54" s="25" t="s"/>
      <c r="J54" s="25" t="s"/>
      <c r="K54" s="25" t="s"/>
      <c r="L54" s="25" t="s"/>
      <c r="M54" s="25" t="s"/>
      <c r="N54" s="25" t="s"/>
      <c r="O54" s="25" t="s"/>
      <c r="P54" s="25" t="s"/>
      <c r="Q54" s="25" t="s"/>
      <c r="R54" s="25" t="s"/>
      <c r="S54" s="25" t="s"/>
      <c r="T54" s="25" t="s"/>
      <c r="U54" s="25" t="s"/>
      <c r="V54" s="25" t="s"/>
      <c r="W54" s="25" t="s"/>
      <c r="X54" s="25" t="s"/>
      <c r="Y54" s="25" t="s"/>
      <c r="Z54" s="25" t="s"/>
    </row>
    <row r="55" spans="1:26">
      <c r="A55" s="23" t="s"/>
      <c r="B55" s="25" t="s"/>
      <c r="C55" s="25" t="s"/>
      <c r="D55" s="25" t="s">
        <v>637</v>
      </c>
      <c r="E55" s="25" t="s"/>
      <c r="F55" s="25" t="s"/>
      <c r="G55" s="25" t="s"/>
      <c r="H55" s="25" t="s"/>
      <c r="I55" s="25" t="s"/>
      <c r="J55" s="25" t="s"/>
      <c r="K55" s="25" t="s"/>
      <c r="L55" s="25" t="s"/>
      <c r="M55" s="25" t="s"/>
      <c r="N55" s="25" t="s"/>
      <c r="O55" s="25" t="s"/>
      <c r="P55" s="25" t="s"/>
      <c r="Q55" s="25" t="s"/>
      <c r="R55" s="25" t="s"/>
      <c r="S55" s="25" t="s"/>
      <c r="T55" s="25" t="s"/>
      <c r="U55" s="25" t="s"/>
      <c r="V55" s="25" t="s"/>
      <c r="W55" s="25" t="s"/>
      <c r="X55" s="25" t="s"/>
      <c r="Y55" s="25" t="s"/>
      <c r="Z55" s="25" t="s"/>
    </row>
    <row r="56" spans="1:26">
      <c r="A56" s="23" t="s"/>
      <c r="B56" s="25" t="s"/>
      <c r="C56" s="25" t="s"/>
      <c r="D56" s="25" t="s">
        <v>638</v>
      </c>
      <c r="E56" s="25" t="s"/>
      <c r="F56" s="25" t="s"/>
      <c r="G56" s="25" t="s"/>
      <c r="H56" s="25" t="s"/>
      <c r="I56" s="25" t="s"/>
      <c r="J56" s="25" t="s"/>
      <c r="K56" s="25" t="s"/>
      <c r="L56" s="25" t="s"/>
      <c r="M56" s="25" t="s"/>
      <c r="N56" s="25" t="s"/>
      <c r="O56" s="25" t="s"/>
      <c r="P56" s="25" t="s"/>
      <c r="Q56" s="25" t="s"/>
      <c r="R56" s="25" t="s"/>
      <c r="S56" s="25" t="s"/>
      <c r="T56" s="25" t="s"/>
      <c r="U56" s="25" t="s"/>
      <c r="V56" s="25" t="s"/>
      <c r="W56" s="25" t="s"/>
      <c r="X56" s="25" t="s"/>
      <c r="Y56" s="25" t="s"/>
      <c r="Z56" s="25" t="s"/>
    </row>
    <row r="57" spans="1:26">
      <c r="A57" s="23" t="s"/>
      <c r="B57" s="25" t="s"/>
      <c r="C57" s="25" t="s"/>
      <c r="D57" s="25" t="s">
        <v>639</v>
      </c>
      <c r="E57" s="25" t="s"/>
      <c r="F57" s="25" t="s"/>
      <c r="G57" s="25" t="s"/>
      <c r="H57" s="25" t="s"/>
      <c r="I57" s="25" t="s"/>
      <c r="J57" s="25" t="s"/>
      <c r="K57" s="25" t="s"/>
      <c r="L57" s="25" t="s"/>
      <c r="M57" s="25" t="s"/>
      <c r="N57" s="25" t="s"/>
      <c r="O57" s="25" t="s"/>
      <c r="P57" s="25" t="s"/>
      <c r="Q57" s="25" t="s"/>
      <c r="R57" s="25" t="s"/>
      <c r="S57" s="25" t="s"/>
      <c r="T57" s="25" t="s"/>
      <c r="U57" s="25" t="s"/>
      <c r="V57" s="25" t="s"/>
      <c r="W57" s="25" t="s"/>
      <c r="X57" s="25" t="s"/>
      <c r="Y57" s="25" t="s"/>
      <c r="Z57" s="25" t="s"/>
    </row>
    <row r="58" spans="1:26">
      <c r="A58" s="23" t="s"/>
      <c r="B58" s="25" t="s"/>
      <c r="C58" s="25" t="s"/>
      <c r="D58" s="25" t="s"/>
      <c r="E58" s="25" t="s"/>
      <c r="F58" s="25" t="s"/>
      <c r="G58" s="25" t="s"/>
      <c r="H58" s="25" t="s"/>
      <c r="I58" s="25" t="s"/>
      <c r="J58" s="25" t="s"/>
      <c r="K58" s="25" t="s"/>
      <c r="L58" s="25" t="s"/>
      <c r="M58" s="25" t="s"/>
      <c r="N58" s="25" t="s"/>
      <c r="O58" s="25" t="s"/>
      <c r="P58" s="25" t="s"/>
      <c r="Q58" s="25" t="s"/>
      <c r="R58" s="25" t="s"/>
      <c r="S58" s="25" t="s"/>
      <c r="T58" s="25" t="s"/>
      <c r="U58" s="25" t="s"/>
      <c r="V58" s="25" t="s"/>
      <c r="W58" s="25" t="s"/>
      <c r="X58" s="25" t="s"/>
      <c r="Y58" s="25" t="s"/>
      <c r="Z58" s="25" t="s"/>
    </row>
    <row r="59" spans="1:26">
      <c r="A59" s="23" t="s"/>
      <c r="B59" s="25" t="s"/>
      <c r="C59" s="25" t="s">
        <v>640</v>
      </c>
      <c r="D59" s="25" t="s"/>
      <c r="E59" s="25" t="s"/>
      <c r="F59" s="25" t="s"/>
      <c r="G59" s="25" t="s"/>
      <c r="H59" s="25" t="s"/>
      <c r="I59" s="25" t="s"/>
      <c r="J59" s="25" t="s"/>
      <c r="K59" s="25" t="s"/>
      <c r="L59" s="25" t="s"/>
      <c r="M59" s="25" t="s"/>
      <c r="N59" s="25" t="s"/>
      <c r="O59" s="25" t="s"/>
      <c r="P59" s="25" t="s"/>
      <c r="Q59" s="25" t="s"/>
      <c r="R59" s="25" t="s"/>
      <c r="S59" s="25" t="s"/>
      <c r="T59" s="25" t="s"/>
      <c r="U59" s="25" t="s"/>
      <c r="V59" s="25" t="s"/>
      <c r="W59" s="25" t="s"/>
      <c r="X59" s="25" t="s"/>
      <c r="Y59" s="25" t="s"/>
      <c r="Z59" s="25" t="s"/>
    </row>
    <row r="60" spans="1:26">
      <c r="A60" s="23" t="s"/>
      <c r="B60" s="25" t="s"/>
      <c r="C60" s="25" t="s"/>
      <c r="D60" s="25" t="s">
        <v>641</v>
      </c>
      <c r="E60" s="25" t="s"/>
      <c r="F60" s="25" t="s"/>
      <c r="G60" s="25" t="s"/>
      <c r="H60" s="25" t="s"/>
      <c r="I60" s="25" t="s"/>
      <c r="J60" s="25" t="s"/>
      <c r="K60" s="25" t="s"/>
      <c r="L60" s="25" t="s"/>
      <c r="M60" s="25" t="s"/>
      <c r="N60" s="25" t="s"/>
      <c r="O60" s="25" t="s"/>
      <c r="P60" s="25" t="s"/>
      <c r="Q60" s="25" t="s"/>
      <c r="R60" s="25" t="s"/>
      <c r="S60" s="25" t="s"/>
      <c r="T60" s="25" t="s"/>
      <c r="U60" s="25" t="s"/>
      <c r="V60" s="25" t="s"/>
      <c r="W60" s="25" t="s"/>
      <c r="X60" s="25" t="s"/>
      <c r="Y60" s="25" t="s"/>
      <c r="Z60" s="25" t="s"/>
    </row>
    <row r="61" spans="1:26">
      <c r="A61" s="23" t="s"/>
      <c r="B61" s="25" t="s"/>
      <c r="C61" s="25" t="s"/>
      <c r="D61" s="25" t="s">
        <v>642</v>
      </c>
      <c r="E61" s="25" t="s"/>
      <c r="F61" s="25" t="s"/>
      <c r="G61" s="25" t="s"/>
      <c r="H61" s="25" t="s"/>
      <c r="I61" s="25" t="s"/>
      <c r="J61" s="25" t="s"/>
      <c r="K61" s="25" t="s"/>
      <c r="L61" s="25" t="s"/>
      <c r="M61" s="25" t="s"/>
      <c r="N61" s="25" t="s"/>
      <c r="O61" s="25" t="s"/>
      <c r="P61" s="25" t="s"/>
      <c r="Q61" s="25" t="s"/>
      <c r="R61" s="25" t="s"/>
      <c r="S61" s="25" t="s"/>
      <c r="T61" s="25" t="s"/>
      <c r="U61" s="25" t="s"/>
      <c r="V61" s="25" t="s"/>
      <c r="W61" s="25" t="s"/>
      <c r="X61" s="25" t="s"/>
      <c r="Y61" s="25" t="s"/>
      <c r="Z61" s="25" t="s"/>
    </row>
    <row r="62" spans="1:26">
      <c r="A62" s="23" t="s"/>
      <c r="B62" s="25" t="s"/>
      <c r="C62" s="25" t="s"/>
      <c r="D62" s="25" t="s"/>
      <c r="E62" s="25" t="s"/>
      <c r="F62" s="25" t="s"/>
      <c r="G62" s="25" t="s"/>
      <c r="H62" s="25" t="s"/>
      <c r="I62" s="25" t="s"/>
      <c r="J62" s="25" t="s"/>
      <c r="K62" s="25" t="s"/>
      <c r="L62" s="25" t="s"/>
      <c r="M62" s="25" t="s"/>
      <c r="N62" s="25" t="s"/>
      <c r="O62" s="25" t="s"/>
      <c r="P62" s="25" t="s"/>
      <c r="Q62" s="25" t="s"/>
      <c r="R62" s="25" t="s"/>
      <c r="S62" s="25" t="s"/>
      <c r="T62" s="25" t="s"/>
      <c r="U62" s="25" t="s"/>
      <c r="V62" s="25" t="s"/>
      <c r="W62" s="25" t="s"/>
      <c r="X62" s="25" t="s"/>
      <c r="Y62" s="25" t="s"/>
      <c r="Z62" s="25" t="s"/>
    </row>
    <row r="63" spans="1:26">
      <c r="A63" s="23" t="s"/>
      <c r="B63" s="25" t="s"/>
      <c r="C63" s="25" t="s">
        <v>643</v>
      </c>
      <c r="D63" s="25" t="s"/>
      <c r="E63" s="25" t="s"/>
      <c r="F63" s="25" t="s"/>
      <c r="G63" s="25" t="s"/>
      <c r="H63" s="25" t="s"/>
      <c r="I63" s="25" t="s"/>
      <c r="J63" s="25" t="s"/>
      <c r="K63" s="25" t="s"/>
      <c r="L63" s="25" t="s"/>
      <c r="M63" s="25" t="s"/>
      <c r="N63" s="25" t="s"/>
      <c r="O63" s="25" t="s"/>
      <c r="P63" s="25" t="s"/>
      <c r="Q63" s="25" t="s"/>
      <c r="R63" s="25" t="s"/>
      <c r="S63" s="25" t="s"/>
      <c r="T63" s="25" t="s"/>
      <c r="U63" s="25" t="s"/>
      <c r="V63" s="25" t="s"/>
      <c r="W63" s="25" t="s"/>
      <c r="X63" s="25" t="s"/>
      <c r="Y63" s="25" t="s"/>
      <c r="Z63" s="25" t="s"/>
    </row>
    <row r="64" spans="1:26">
      <c r="A64" s="23" t="s"/>
      <c r="B64" s="25" t="s"/>
      <c r="C64" s="25" t="s"/>
      <c r="D64" s="25" t="s">
        <v>644</v>
      </c>
      <c r="E64" s="25" t="s"/>
      <c r="F64" s="25" t="s"/>
      <c r="G64" s="25" t="s"/>
      <c r="H64" s="25" t="s"/>
      <c r="I64" s="25" t="s"/>
      <c r="J64" s="25" t="s"/>
      <c r="K64" s="25" t="s"/>
      <c r="L64" s="25" t="s"/>
      <c r="M64" s="25" t="s"/>
      <c r="N64" s="25" t="s"/>
      <c r="O64" s="25" t="s"/>
      <c r="P64" s="25" t="s"/>
      <c r="Q64" s="25" t="s"/>
      <c r="R64" s="25" t="s"/>
      <c r="S64" s="25" t="s"/>
      <c r="T64" s="25" t="s"/>
      <c r="U64" s="25" t="s"/>
      <c r="V64" s="25" t="s"/>
      <c r="W64" s="25" t="s"/>
      <c r="X64" s="25" t="s"/>
      <c r="Y64" s="25" t="s"/>
      <c r="Z64" s="25" t="s"/>
    </row>
    <row r="65" spans="1:26">
      <c r="A65" s="23" t="s"/>
      <c r="B65" s="25" t="s"/>
      <c r="C65" s="25" t="s"/>
      <c r="D65" s="25" t="s">
        <v>645</v>
      </c>
      <c r="E65" s="25" t="s"/>
      <c r="F65" s="25" t="s"/>
      <c r="G65" s="25" t="s"/>
      <c r="H65" s="25" t="s"/>
      <c r="I65" s="25" t="s"/>
      <c r="J65" s="25" t="s"/>
      <c r="K65" s="25" t="s"/>
      <c r="L65" s="25" t="s"/>
      <c r="M65" s="25" t="s"/>
      <c r="N65" s="25" t="s"/>
      <c r="O65" s="25" t="s"/>
      <c r="P65" s="25" t="s"/>
      <c r="Q65" s="25" t="s"/>
      <c r="R65" s="25" t="s"/>
      <c r="S65" s="25" t="s"/>
      <c r="T65" s="25" t="s"/>
      <c r="U65" s="25" t="s"/>
      <c r="V65" s="25" t="s"/>
      <c r="W65" s="25" t="s"/>
      <c r="X65" s="25" t="s"/>
      <c r="Y65" s="25" t="s"/>
      <c r="Z65" s="25" t="s"/>
    </row>
    <row r="66" spans="1:26">
      <c r="A66" s="23" t="s"/>
      <c r="B66" s="25" t="s"/>
      <c r="C66" s="25" t="s"/>
      <c r="D66" s="25" t="s">
        <v>646</v>
      </c>
      <c r="E66" s="25" t="s"/>
      <c r="F66" s="25" t="s"/>
      <c r="G66" s="25" t="s"/>
      <c r="H66" s="25" t="s"/>
      <c r="I66" s="25" t="s"/>
      <c r="J66" s="25" t="s"/>
      <c r="K66" s="25" t="s"/>
      <c r="L66" s="25" t="s"/>
      <c r="M66" s="25" t="s"/>
      <c r="N66" s="25" t="s"/>
      <c r="O66" s="25" t="s"/>
      <c r="P66" s="25" t="s"/>
      <c r="Q66" s="25" t="s"/>
      <c r="R66" s="25" t="s"/>
      <c r="S66" s="25" t="s"/>
      <c r="T66" s="25" t="s"/>
      <c r="U66" s="25" t="s"/>
      <c r="V66" s="25" t="s"/>
      <c r="W66" s="25" t="s"/>
      <c r="X66" s="25" t="s"/>
      <c r="Y66" s="25" t="s"/>
      <c r="Z66" s="25" t="s"/>
    </row>
    <row r="67" spans="1:26">
      <c r="A67" s="23" t="s"/>
      <c r="B67" s="25" t="s">
        <v>647</v>
      </c>
      <c r="C67" s="25" t="s"/>
      <c r="D67" s="25" t="s"/>
      <c r="E67" s="25" t="s"/>
      <c r="F67" s="25" t="s"/>
      <c r="G67" s="25" t="s"/>
      <c r="H67" s="25" t="s"/>
      <c r="I67" s="25" t="s"/>
      <c r="J67" s="25" t="s"/>
      <c r="K67" s="25" t="s"/>
      <c r="L67" s="25" t="s"/>
      <c r="M67" s="25" t="s"/>
      <c r="N67" s="25" t="s"/>
      <c r="O67" s="25" t="s"/>
      <c r="P67" s="25" t="s"/>
      <c r="Q67" s="25" t="s"/>
      <c r="R67" s="25" t="s"/>
      <c r="S67" s="25" t="s"/>
      <c r="T67" s="25" t="s"/>
      <c r="U67" s="25" t="s"/>
      <c r="V67" s="25" t="s"/>
      <c r="W67" s="25" t="s"/>
      <c r="X67" s="25" t="s"/>
      <c r="Y67" s="25" t="s"/>
      <c r="Z67" s="25" t="s"/>
    </row>
    <row r="68" spans="1:26">
      <c r="A68" s="23" t="s"/>
      <c r="B68" s="25" t="s"/>
      <c r="C68" s="25" t="s">
        <v>648</v>
      </c>
      <c r="D68" s="25" t="s"/>
      <c r="E68" s="25" t="s"/>
      <c r="F68" s="25" t="s"/>
      <c r="G68" s="25" t="s"/>
      <c r="H68" s="25" t="s"/>
      <c r="I68" s="25" t="s"/>
      <c r="J68" s="25" t="s"/>
      <c r="K68" s="25" t="s"/>
      <c r="L68" s="25" t="s"/>
      <c r="M68" s="25" t="s"/>
      <c r="N68" s="25" t="s"/>
      <c r="O68" s="25" t="s"/>
      <c r="P68" s="25" t="s"/>
      <c r="Q68" s="25" t="s"/>
      <c r="R68" s="25" t="s"/>
      <c r="S68" s="25" t="s"/>
      <c r="T68" s="25" t="s"/>
      <c r="U68" s="25" t="s"/>
      <c r="V68" s="25" t="s"/>
      <c r="W68" s="25" t="s"/>
      <c r="X68" s="25" t="s"/>
      <c r="Y68" s="25" t="s"/>
      <c r="Z68" s="25" t="s"/>
    </row>
    <row r="69" spans="1:26">
      <c r="A69" s="23" t="s"/>
      <c r="B69" s="25" t="s"/>
      <c r="C69" s="25" t="s">
        <v>649</v>
      </c>
      <c r="D69" s="25" t="s"/>
      <c r="E69" s="25" t="s"/>
      <c r="F69" s="25" t="s"/>
      <c r="G69" s="25" t="s"/>
      <c r="H69" s="25" t="s"/>
      <c r="I69" s="25" t="s"/>
      <c r="J69" s="25" t="s"/>
      <c r="K69" s="25" t="s"/>
      <c r="L69" s="25" t="s"/>
      <c r="M69" s="25" t="s"/>
      <c r="N69" s="25" t="s"/>
      <c r="O69" s="25" t="s"/>
      <c r="P69" s="25" t="s"/>
      <c r="Q69" s="25" t="s"/>
      <c r="R69" s="25" t="s"/>
      <c r="S69" s="25" t="s"/>
      <c r="T69" s="25" t="s"/>
      <c r="U69" s="25" t="s"/>
      <c r="V69" s="25" t="s"/>
      <c r="W69" s="25" t="s"/>
      <c r="X69" s="25" t="s"/>
      <c r="Y69" s="25" t="s"/>
      <c r="Z69" s="25" t="s"/>
    </row>
    <row r="70" spans="1:26">
      <c r="A70" s="23" t="s"/>
      <c r="B70" s="25" t="s"/>
      <c r="C70" s="25" t="s">
        <v>650</v>
      </c>
      <c r="D70" s="25" t="s"/>
      <c r="E70" s="25" t="s"/>
      <c r="F70" s="25" t="s"/>
      <c r="G70" s="25" t="s"/>
      <c r="H70" s="25" t="s"/>
      <c r="I70" s="25" t="s"/>
      <c r="J70" s="25" t="s"/>
      <c r="K70" s="25" t="s"/>
      <c r="L70" s="25" t="s"/>
      <c r="M70" s="25" t="s"/>
      <c r="N70" s="25" t="s"/>
      <c r="O70" s="25" t="s"/>
      <c r="P70" s="25" t="s"/>
      <c r="Q70" s="25" t="s"/>
      <c r="R70" s="25" t="s"/>
      <c r="S70" s="25" t="s"/>
      <c r="T70" s="25" t="s"/>
      <c r="U70" s="25" t="s"/>
      <c r="V70" s="25" t="s"/>
      <c r="W70" s="25" t="s"/>
      <c r="X70" s="25" t="s"/>
      <c r="Y70" s="25" t="s"/>
      <c r="Z70" s="25" t="s"/>
    </row>
    <row r="71" spans="3:3">
      <c r="C71" s="27" t="s">
        <v>651</v>
      </c>
    </row>
    <row r="72" spans="3:3">
      <c r="C72" s="25" t="s">
        <v>652</v>
      </c>
    </row>
    <row r="73" spans="3:16">
      <c r="C73" s="25" t="s">
        <v>653</v>
      </c>
      <c r="K73" s="25" t="s"/>
      <c r="L73" s="25" t="s"/>
      <c r="M73" s="25" t="s"/>
      <c r="N73" s="25" t="s"/>
      <c r="O73" s="25" t="s"/>
      <c r="P73" s="25" t="s"/>
    </row>
    <row r="74" spans="3:16">
      <c r="C74" s="25" t="s">
        <v>654</v>
      </c>
      <c r="K74" s="25" t="s"/>
      <c r="L74" s="25" t="s"/>
      <c r="M74" s="25" t="s"/>
      <c r="N74" s="25" t="s"/>
      <c r="O74" s="25" t="s"/>
      <c r="P74" s="25" t="s"/>
    </row>
    <row r="75" spans="3:16">
      <c r="C75" s="25" t="s"/>
      <c r="K75" s="25" t="s"/>
      <c r="L75" s="25" t="s"/>
      <c r="M75" s="25" t="s"/>
      <c r="N75" s="25" t="s"/>
      <c r="O75" s="25" t="s"/>
      <c r="P75" s="25" t="s"/>
    </row>
    <row r="76" spans="3:16">
      <c r="C76" s="25" t="s"/>
      <c r="K76" s="25" t="s"/>
      <c r="L76" s="25" t="s"/>
      <c r="M76" s="25" t="s"/>
      <c r="N76" s="25" t="s"/>
      <c r="O76" s="25" t="s"/>
      <c r="P76" s="25" t="s"/>
    </row>
    <row r="77" spans="4:16" ht="27.75" customHeight="true">
      <c r="D77" s="32" t="s"/>
      <c r="E77" s="32" t="s">
        <v>655</v>
      </c>
      <c r="F77" s="32" t="s">
        <v>656</v>
      </c>
      <c r="G77" s="32" t="s">
        <v>657</v>
      </c>
      <c r="H77" s="32" t="s">
        <v>658</v>
      </c>
      <c r="I77" s="32" t="s">
        <v>659</v>
      </c>
      <c r="J77" s="32" t="s">
        <v>660</v>
      </c>
      <c r="K77" s="33" t="s">
        <v>661</v>
      </c>
      <c r="L77" s="33" t="s">
        <v>662</v>
      </c>
      <c r="M77" s="25" t="s"/>
      <c r="N77" s="25" t="s"/>
      <c r="O77" s="25" t="s"/>
      <c r="P77" s="25" t="s"/>
    </row>
    <row r="78" spans="4:16" ht="27.75" customHeight="true">
      <c r="D78" s="33" t="s">
        <v>663</v>
      </c>
      <c r="E78" s="34">
        <v>165</v>
      </c>
      <c r="F78" s="34">
        <v>139</v>
      </c>
      <c r="G78" s="34">
        <v>133</v>
      </c>
      <c r="H78" s="34">
        <v>139</v>
      </c>
      <c r="I78" s="34">
        <v>172</v>
      </c>
      <c r="J78" s="34">
        <v>174</v>
      </c>
      <c r="K78" s="34">
        <v>161</v>
      </c>
      <c r="L78" s="33" t="s"/>
      <c r="M78" s="25" t="s"/>
      <c r="N78" s="25" t="s"/>
      <c r="O78" s="25" t="s"/>
      <c r="P78" s="25" t="s"/>
    </row>
    <row r="79" spans="4:16" ht="27.75" customHeight="true">
      <c r="D79" s="33" t="s">
        <v>664</v>
      </c>
      <c r="E79" s="34">
        <v>69</v>
      </c>
      <c r="F79" s="34">
        <v>54</v>
      </c>
      <c r="G79" s="34">
        <v>68</v>
      </c>
      <c r="H79" s="34">
        <v>55</v>
      </c>
      <c r="I79" s="34">
        <v>78</v>
      </c>
      <c r="J79" s="34">
        <v>60</v>
      </c>
      <c r="K79" s="34">
        <v>72</v>
      </c>
      <c r="L79" s="33" t="s"/>
      <c r="M79" s="25" t="s"/>
      <c r="N79" s="25" t="s"/>
      <c r="O79" s="25" t="s"/>
      <c r="P79" s="25" t="s"/>
    </row>
    <row r="80" spans="4:16" ht="27.75" customHeight="true">
      <c r="D80" s="33" t="s">
        <v>665</v>
      </c>
      <c r="E80" s="34">
        <v>96</v>
      </c>
      <c r="F80" s="34">
        <v>85</v>
      </c>
      <c r="G80" s="34">
        <v>65</v>
      </c>
      <c r="H80" s="34">
        <v>84</v>
      </c>
      <c r="I80" s="34">
        <v>94</v>
      </c>
      <c r="J80" s="34">
        <v>114</v>
      </c>
      <c r="K80" s="34">
        <v>89</v>
      </c>
      <c r="L80" s="33" t="s"/>
      <c r="M80" s="25" t="s"/>
      <c r="N80" s="25" t="s"/>
      <c r="O80" s="25" t="s"/>
      <c r="P80" s="25" t="s"/>
    </row>
    <row r="81" spans="4:16" ht="27.75" customHeight="true">
      <c r="D81" s="33" t="s">
        <v>666</v>
      </c>
      <c r="E81" s="35">
        <v>267</v>
      </c>
      <c r="F81" s="35">
        <v>227</v>
      </c>
      <c r="G81" s="35">
        <v>192</v>
      </c>
      <c r="H81" s="35">
        <v>188</v>
      </c>
      <c r="I81" s="35">
        <v>238</v>
      </c>
      <c r="J81" s="35">
        <v>310</v>
      </c>
      <c r="K81" s="35">
        <v>280</v>
      </c>
      <c r="L81" s="33" t="s"/>
      <c r="M81" s="25" t="s"/>
      <c r="N81" s="25" t="s"/>
      <c r="O81" s="25" t="s"/>
      <c r="P81" s="25" t="s"/>
    </row>
    <row r="82" spans="4:16" ht="27.75" customHeight="true">
      <c r="D82" s="36" t="s">
        <v>667</v>
      </c>
      <c r="E82" s="35">
        <f>=E81*$L82</f>
        <v>226.95</v>
      </c>
      <c r="F82" s="35">
        <f>=F81*$L82</f>
        <v>192.95</v>
      </c>
      <c r="G82" s="35">
        <f>=G81*$L82</f>
        <v>163.2</v>
      </c>
      <c r="H82" s="35">
        <f>=H81*$L82</f>
        <v>159.8</v>
      </c>
      <c r="I82" s="35">
        <f>=I81*$L82</f>
        <v>202.3</v>
      </c>
      <c r="J82" s="35">
        <f>=J81*$L82</f>
        <v>263.5</v>
      </c>
      <c r="K82" s="37">
        <f>=K81*$L82</f>
        <v>238</v>
      </c>
      <c r="L82" s="38">
        <v>0.85</v>
      </c>
      <c r="M82" s="25" t="s"/>
      <c r="N82" s="25" t="s"/>
      <c r="O82" s="25" t="s"/>
      <c r="P82" s="25" t="s"/>
    </row>
    <row r="83" spans="4:16" ht="27.75" customHeight="true">
      <c r="D83" s="36" t="s">
        <v>668</v>
      </c>
      <c r="E83" s="35">
        <f>=E82*$L83</f>
        <v>158.865</v>
      </c>
      <c r="F83" s="35">
        <f>=F82*$L83</f>
        <v>135.065</v>
      </c>
      <c r="G83" s="35">
        <f>=G82*$L83</f>
        <v>114.24</v>
      </c>
      <c r="H83" s="35">
        <f>=H82*$L83</f>
        <v>111.86</v>
      </c>
      <c r="I83" s="35">
        <f>=I82*$L83</f>
        <v>141.61</v>
      </c>
      <c r="J83" s="35">
        <f>=J82*$L83</f>
        <v>184.45</v>
      </c>
      <c r="K83" s="37">
        <f>=K82*$L83</f>
        <v>166.6</v>
      </c>
      <c r="L83" s="38">
        <v>0.7</v>
      </c>
      <c r="M83" s="25" t="s"/>
      <c r="N83" s="25" t="s"/>
      <c r="O83" s="25" t="s"/>
      <c r="P83" s="25" t="s"/>
    </row>
    <row r="84" spans="4:16" ht="27.75" customHeight="true">
      <c r="D84" s="36" t="s">
        <v>669</v>
      </c>
      <c r="E84" s="35">
        <f>=E83*$L84</f>
        <v>79.4325</v>
      </c>
      <c r="F84" s="35">
        <f>=F83*$L84</f>
        <v>67.5325</v>
      </c>
      <c r="G84" s="35">
        <f>=G83*$L84</f>
        <v>57.12</v>
      </c>
      <c r="H84" s="35">
        <f>=H83*$L84</f>
        <v>55.93</v>
      </c>
      <c r="I84" s="35">
        <f>=I83*$L84</f>
        <v>70.805</v>
      </c>
      <c r="J84" s="35">
        <f>=J83*$L84</f>
        <v>92.225</v>
      </c>
      <c r="K84" s="37">
        <f>=K83*$L84</f>
        <v>83.3</v>
      </c>
      <c r="L84" s="38">
        <v>0.5</v>
      </c>
      <c r="M84" s="25" t="s"/>
      <c r="N84" s="25" t="s"/>
      <c r="O84" s="25" t="s"/>
      <c r="P84" s="25" t="s"/>
    </row>
    <row r="85" spans="4:12" ht="27.75" customHeight="true">
      <c r="D85" s="39" t="s">
        <v>670</v>
      </c>
      <c r="E85" s="35">
        <f>=E78*$L85</f>
        <v>49.5</v>
      </c>
      <c r="F85" s="35">
        <f>=F78*$L85</f>
        <v>41.7</v>
      </c>
      <c r="G85" s="35">
        <f>=G78*$L85</f>
        <v>39.9</v>
      </c>
      <c r="H85" s="35">
        <f>=H78*$L85</f>
        <v>41.7</v>
      </c>
      <c r="I85" s="35">
        <f>=I78*$L85</f>
        <v>51.6</v>
      </c>
      <c r="J85" s="35">
        <f>=J78*$L85</f>
        <v>52.2</v>
      </c>
      <c r="K85" s="37">
        <f>=K78*$L85</f>
        <v>48.3</v>
      </c>
      <c r="L85" s="38">
        <v>0.3</v>
      </c>
    </row>
    <row r="86" spans="1:26" ht="27.75" customHeight="true">
      <c r="A86" s="23" t="s"/>
      <c r="B86" s="25" t="s"/>
      <c r="D86" s="40" t="s">
        <v>671</v>
      </c>
      <c r="E86" s="41">
        <f>=E84*$L86</f>
        <v>39.71625</v>
      </c>
      <c r="F86" s="41">
        <f>=F84*$L86</f>
        <v>33.76625</v>
      </c>
      <c r="G86" s="41">
        <f>=G84*$L86</f>
        <v>28.56</v>
      </c>
      <c r="H86" s="41">
        <f>=H84*$L86</f>
        <v>27.965</v>
      </c>
      <c r="I86" s="41">
        <f>=I84*$L86</f>
        <v>35.4025</v>
      </c>
      <c r="J86" s="41">
        <f>=J84*$L86</f>
        <v>46.1125</v>
      </c>
      <c r="K86" s="42">
        <f>=K84*$L86</f>
        <v>41.65</v>
      </c>
      <c r="L86" s="43">
        <v>0.5</v>
      </c>
      <c r="M86" s="25" t="s"/>
      <c r="N86" s="25" t="s"/>
      <c r="O86" s="25" t="s"/>
      <c r="P86" s="25" t="s"/>
      <c r="Q86" s="25" t="s"/>
      <c r="R86" s="25" t="s"/>
      <c r="S86" s="25" t="s"/>
      <c r="T86" s="25" t="s"/>
      <c r="U86" s="25" t="s"/>
      <c r="V86" s="25" t="s"/>
      <c r="W86" s="25" t="s"/>
      <c r="X86" s="25" t="s"/>
      <c r="Y86" s="25" t="s"/>
      <c r="Z86" s="25" t="s"/>
    </row>
    <row r="87" spans="4:16" ht="27.75" customHeight="true">
      <c r="D87" s="39" t="s">
        <v>672</v>
      </c>
      <c r="E87" s="35">
        <f>=E86*$L87</f>
        <v>7.94325</v>
      </c>
      <c r="F87" s="35">
        <f>=F86*$L87</f>
        <v>6.75325</v>
      </c>
      <c r="G87" s="35">
        <f>=G86*$L87</f>
        <v>5.712</v>
      </c>
      <c r="H87" s="35">
        <f>=H86*$L87</f>
        <v>5.593</v>
      </c>
      <c r="I87" s="35">
        <f>=I86*$L87</f>
        <v>7.0805</v>
      </c>
      <c r="J87" s="35">
        <f>=J86*$L87</f>
        <v>9.2225</v>
      </c>
      <c r="K87" s="37">
        <f>=K86*$L87</f>
        <v>8.33</v>
      </c>
      <c r="L87" s="38">
        <v>0.2</v>
      </c>
      <c r="M87" s="25" t="s"/>
      <c r="N87" s="25" t="s"/>
      <c r="O87" s="25" t="s"/>
      <c r="P87" s="25" t="s"/>
    </row>
    <row r="88" spans="4:16" ht="27" customHeight="true">
      <c r="D88" s="44" t="s">
        <v>673</v>
      </c>
      <c r="E88" s="45">
        <f>=E85/$L88</f>
        <v>3.3</v>
      </c>
      <c r="F88" s="45">
        <f>=F85/$L88</f>
        <v>2.78</v>
      </c>
      <c r="G88" s="45">
        <f>=G85/$L88</f>
        <v>2.66</v>
      </c>
      <c r="H88" s="45">
        <f>=H85/$L88</f>
        <v>2.78</v>
      </c>
      <c r="I88" s="45">
        <f>=I85/$L88</f>
        <v>3.44</v>
      </c>
      <c r="J88" s="45">
        <f>=J85/$L88</f>
        <v>3.48</v>
      </c>
      <c r="K88" s="46">
        <f>=K85/$L88</f>
        <v>3.22</v>
      </c>
      <c r="L88" s="47">
        <v>15</v>
      </c>
      <c r="M88" s="25" t="s"/>
      <c r="N88" s="25" t="s"/>
      <c r="O88" s="25" t="s"/>
      <c r="P88" s="25" t="s"/>
    </row>
    <row r="89" spans="11:16">
      <c r="K89" s="25" t="s"/>
      <c r="L89" s="25" t="s"/>
      <c r="M89" s="25" t="s"/>
      <c r="N89" s="25" t="s"/>
      <c r="O89" s="25" t="s"/>
      <c r="P89" s="25" t="s"/>
    </row>
    <row r="90" spans="4:16">
      <c r="D90" s="48" t="s">
        <v>60</v>
      </c>
      <c r="E90" s="49" t="s">
        <v>75</v>
      </c>
      <c r="F90" s="49" t="s">
        <v>112</v>
      </c>
      <c r="G90" s="49" t="s">
        <v>248</v>
      </c>
      <c r="H90" s="49" t="s">
        <v>446</v>
      </c>
      <c r="I90" s="49" t="s">
        <v>474</v>
      </c>
      <c r="J90" s="50" t="s">
        <v>537</v>
      </c>
      <c r="K90" s="25" t="s"/>
      <c r="L90" s="25" t="s"/>
      <c r="N90" s="25" t="s"/>
      <c r="O90" s="25" t="s"/>
      <c r="P90" s="25" t="s"/>
    </row>
    <row r="91" spans="4:16">
      <c r="D91" s="51" t="s">
        <v>69</v>
      </c>
      <c r="E91" s="52">
        <v>9</v>
      </c>
      <c r="F91" s="52">
        <v>36</v>
      </c>
      <c r="G91" s="53">
        <v>69</v>
      </c>
      <c r="H91" s="54">
        <v>11</v>
      </c>
      <c r="I91" s="55">
        <v>22</v>
      </c>
      <c r="J91" s="56">
        <v>19</v>
      </c>
      <c r="K91" s="25" t="s"/>
      <c r="L91" s="25" t="s"/>
      <c r="N91" s="25" t="s"/>
      <c r="O91" s="25" t="s"/>
      <c r="P91" s="25" t="s"/>
    </row>
    <row r="92" spans="4:16">
      <c r="D92" s="51" t="s">
        <v>674</v>
      </c>
      <c r="E92" s="52">
        <v>8</v>
      </c>
      <c r="F92" s="52">
        <v>20</v>
      </c>
      <c r="G92" s="53">
        <v>69</v>
      </c>
      <c r="H92" s="54">
        <v>3</v>
      </c>
      <c r="I92" s="55">
        <v>12</v>
      </c>
      <c r="J92" s="56">
        <v>21</v>
      </c>
      <c r="K92" s="25" t="s"/>
      <c r="L92" s="25" t="s"/>
      <c r="N92" s="25" t="s"/>
      <c r="O92" s="25" t="s"/>
      <c r="P92" s="25" t="s"/>
    </row>
    <row r="93" spans="4:16">
      <c r="D93" s="51" t="s">
        <v>675</v>
      </c>
      <c r="E93" s="52">
        <v>12</v>
      </c>
      <c r="F93" s="52">
        <v>31</v>
      </c>
      <c r="G93" s="53">
        <v>90</v>
      </c>
      <c r="H93" s="54">
        <v>10</v>
      </c>
      <c r="I93" s="55">
        <v>22</v>
      </c>
      <c r="J93" s="56">
        <v>21</v>
      </c>
      <c r="K93" s="25" t="s"/>
      <c r="L93" s="25" t="s"/>
      <c r="N93" s="25" t="s"/>
      <c r="O93" s="25" t="s"/>
      <c r="P93" s="25" t="s"/>
    </row>
    <row r="94" spans="3:16">
      <c r="C94" s="25" t="s"/>
      <c r="D94" s="51" t="s">
        <v>676</v>
      </c>
      <c r="E94" s="52">
        <v>8</v>
      </c>
      <c r="F94" s="52">
        <v>24</v>
      </c>
      <c r="G94" s="53">
        <v>66</v>
      </c>
      <c r="H94" s="54">
        <v>8</v>
      </c>
      <c r="I94" s="55">
        <v>14</v>
      </c>
      <c r="J94" s="56">
        <v>18</v>
      </c>
      <c r="K94" s="25" t="s"/>
      <c r="L94" s="25" t="s"/>
      <c r="N94" s="25" t="s"/>
      <c r="O94" s="25" t="s"/>
      <c r="P94" s="25" t="s"/>
    </row>
    <row r="95" spans="3:16">
      <c r="C95" s="25" t="s"/>
      <c r="D95" s="51" t="s">
        <v>677</v>
      </c>
      <c r="E95" s="52">
        <v>9</v>
      </c>
      <c r="F95" s="52">
        <v>23</v>
      </c>
      <c r="G95" s="53">
        <v>56</v>
      </c>
      <c r="H95" s="54">
        <v>11</v>
      </c>
      <c r="I95" s="55">
        <v>8</v>
      </c>
      <c r="J95" s="56">
        <v>30</v>
      </c>
      <c r="K95" s="25" t="s"/>
      <c r="L95" s="25" t="s"/>
      <c r="N95" s="25" t="s"/>
      <c r="O95" s="25" t="s"/>
      <c r="P95" s="25" t="s"/>
    </row>
    <row r="96" spans="3:16">
      <c r="C96" s="25" t="s"/>
      <c r="D96" s="57" t="s">
        <v>678</v>
      </c>
      <c r="E96" s="52">
        <v>8</v>
      </c>
      <c r="F96" s="52">
        <v>42</v>
      </c>
      <c r="G96" s="53">
        <v>60</v>
      </c>
      <c r="H96" s="54">
        <v>14</v>
      </c>
      <c r="I96" s="55">
        <v>19</v>
      </c>
      <c r="J96" s="56">
        <v>21</v>
      </c>
      <c r="K96" s="25" t="s"/>
      <c r="L96" s="25" t="s"/>
      <c r="N96" s="25" t="s"/>
      <c r="O96" s="25" t="s"/>
      <c r="P96" s="25" t="s"/>
    </row>
    <row r="97" spans="3:16">
      <c r="C97" s="25" t="s"/>
      <c r="D97" s="57" t="s">
        <v>679</v>
      </c>
      <c r="E97" s="52">
        <v>9</v>
      </c>
      <c r="F97" s="52">
        <v>39</v>
      </c>
      <c r="G97" s="53">
        <v>64</v>
      </c>
      <c r="H97" s="54">
        <v>14</v>
      </c>
      <c r="I97" s="55">
        <v>14</v>
      </c>
      <c r="J97" s="56">
        <v>40</v>
      </c>
      <c r="K97" s="25" t="s"/>
      <c r="L97" s="25" t="s"/>
      <c r="N97" s="25" t="s"/>
      <c r="O97" s="25" t="s"/>
      <c r="P97" s="25" t="s"/>
    </row>
    <row r="98" spans="3:16">
      <c r="C98" s="25" t="s"/>
      <c r="D98" s="58" t="s">
        <v>680</v>
      </c>
      <c r="E98" s="59">
        <v>63</v>
      </c>
      <c r="F98" s="59">
        <v>215</v>
      </c>
      <c r="G98" s="59">
        <v>474</v>
      </c>
      <c r="H98" s="59">
        <v>71</v>
      </c>
      <c r="I98" s="59">
        <v>111</v>
      </c>
      <c r="J98" s="59">
        <v>170</v>
      </c>
      <c r="K98" s="25" t="s"/>
      <c r="L98" s="25" t="s"/>
      <c r="N98" s="25" t="s"/>
      <c r="O98" s="25" t="s"/>
      <c r="P98" s="25" t="s"/>
    </row>
    <row r="99" spans="3:16">
      <c r="C99" s="25" t="s"/>
      <c r="K99" s="25" t="s"/>
      <c r="L99" s="25" t="s"/>
      <c r="M99" s="25" t="s"/>
      <c r="N99" s="25" t="s"/>
      <c r="O99" s="25" t="s"/>
      <c r="P99" s="25" t="s"/>
    </row>
    <row r="100" spans="1:16">
      <c r="A100" s="23" t="s">
        <v>681</v>
      </c>
      <c r="B100" s="25" t="s"/>
      <c r="C100" s="25" t="s"/>
      <c r="D100" s="25" t="s"/>
      <c r="E100" s="25" t="s"/>
      <c r="F100" s="25" t="s"/>
      <c r="G100" s="25" t="s"/>
      <c r="K100" s="25" t="s"/>
      <c r="L100" s="25" t="s"/>
      <c r="M100" s="25" t="s"/>
      <c r="N100" s="25" t="s"/>
      <c r="O100" s="25" t="s"/>
      <c r="P100" s="25" t="s"/>
    </row>
    <row r="101" spans="1:16">
      <c r="A101" s="23" t="s"/>
      <c r="B101" s="25" t="s"/>
      <c r="C101" s="25" t="s"/>
      <c r="D101" s="25" t="s"/>
      <c r="E101" s="25" t="s"/>
      <c r="F101" s="25" t="s"/>
      <c r="G101" s="25" t="s"/>
      <c r="K101" s="25" t="s"/>
      <c r="L101" s="25" t="s"/>
      <c r="M101" s="25" t="s"/>
      <c r="N101" s="25" t="s"/>
      <c r="O101" s="25" t="s"/>
      <c r="P101" s="25" t="s"/>
    </row>
    <row r="102" spans="1:16" ht="45.75" customHeight="true">
      <c r="A102" s="23" t="s"/>
      <c r="D102" s="60" t="s">
        <v>682</v>
      </c>
      <c r="E102" s="61" t="s">
        <v>683</v>
      </c>
      <c r="F102" s="61" t="s">
        <v>684</v>
      </c>
      <c r="G102" s="61" t="s">
        <v>685</v>
      </c>
      <c r="H102" s="61" t="s">
        <v>686</v>
      </c>
      <c r="I102" s="61" t="s">
        <v>687</v>
      </c>
      <c r="K102" s="25" t="s"/>
      <c r="L102" s="25" t="s"/>
      <c r="M102" s="25" t="s"/>
      <c r="N102" s="25" t="s"/>
      <c r="O102" s="25" t="s"/>
      <c r="P102" s="25" t="s"/>
    </row>
    <row r="103" spans="1:9" ht="45.75" customHeight="true">
      <c r="A103" s="23" t="s"/>
      <c r="D103" s="61" t="s">
        <v>683</v>
      </c>
      <c r="E103" s="60" t="s"/>
      <c r="F103" s="62" t="s">
        <v>688</v>
      </c>
      <c r="G103" s="60" t="s"/>
      <c r="H103" s="62" t="s">
        <v>689</v>
      </c>
      <c r="I103" s="63" t="s"/>
    </row>
    <row r="104" spans="1:9" ht="45.75" customHeight="true">
      <c r="A104" s="23" t="s"/>
      <c r="D104" s="61" t="s">
        <v>684</v>
      </c>
      <c r="E104" s="62" t="s">
        <v>690</v>
      </c>
      <c r="F104" s="60" t="s"/>
      <c r="G104" s="62" t="s">
        <v>691</v>
      </c>
      <c r="H104" s="63" t="s"/>
      <c r="I104" s="64" t="s">
        <v>692</v>
      </c>
    </row>
    <row r="105" spans="1:9" ht="45.75" customHeight="true">
      <c r="A105" s="23" t="s"/>
      <c r="D105" s="61" t="s">
        <v>685</v>
      </c>
      <c r="E105" s="64" t="s">
        <v>693</v>
      </c>
      <c r="F105" s="62" t="s">
        <v>694</v>
      </c>
      <c r="G105" s="60" t="s"/>
      <c r="H105" s="64" t="s"/>
      <c r="I105" s="60" t="s"/>
    </row>
    <row r="106" spans="1:9" ht="45.75" customHeight="true">
      <c r="A106" s="23" t="s"/>
      <c r="D106" s="61" t="s">
        <v>695</v>
      </c>
      <c r="E106" s="64" t="s">
        <v>696</v>
      </c>
      <c r="F106" s="64" t="s">
        <v>697</v>
      </c>
      <c r="G106" s="64" t="s"/>
      <c r="H106" s="60" t="s"/>
      <c r="I106" s="64" t="s"/>
    </row>
    <row r="107" spans="1:9" ht="45.75" customHeight="true">
      <c r="A107" s="23" t="s"/>
      <c r="D107" s="61" t="s">
        <v>687</v>
      </c>
      <c r="E107" s="64" t="s">
        <v>698</v>
      </c>
      <c r="F107" s="60" t="s"/>
      <c r="G107" s="60" t="s"/>
      <c r="H107" s="60" t="s"/>
      <c r="I107" s="60" t="s"/>
    </row>
    <row r="110" spans="1:1">
      <c r="A110" s="23" t="s">
        <v>699</v>
      </c>
    </row>
    <row r="111" spans="1:26" s="160" customFormat="true">
      <c r="A111" s="65" t="s"/>
      <c r="B111" s="26" t="s">
        <v>700</v>
      </c>
      <c r="D111" s="66" t="s"/>
      <c r="E111" s="66" t="s"/>
      <c r="F111" s="66" t="s"/>
      <c r="G111" s="66" t="s"/>
      <c r="H111" s="67" t="s"/>
      <c r="I111" s="67" t="s"/>
      <c r="J111" s="67" t="s"/>
      <c r="K111" s="67" t="s"/>
      <c r="L111" s="67" t="s"/>
      <c r="M111" s="67" t="s"/>
      <c r="N111" s="67" t="s"/>
      <c r="O111" s="67" t="s"/>
      <c r="P111" s="67" t="s"/>
      <c r="Q111" s="67" t="s"/>
      <c r="R111" s="67" t="s"/>
      <c r="S111" s="67" t="s"/>
      <c r="T111" s="67" t="s"/>
      <c r="U111" s="67" t="s"/>
      <c r="V111" s="66" t="s"/>
      <c r="W111" s="66" t="s"/>
      <c r="X111" s="66" t="s"/>
      <c r="Y111" s="66" t="s"/>
      <c r="Z111" s="66" t="s"/>
    </row>
    <row r="112" spans="1:26" s="160" customFormat="true">
      <c r="A112" s="65" t="s"/>
      <c r="C112" s="68" t="s">
        <v>701</v>
      </c>
      <c r="D112" s="66" t="s"/>
      <c r="E112" s="66" t="s"/>
      <c r="F112" s="66" t="s"/>
      <c r="G112" s="66" t="s"/>
      <c r="H112" s="67" t="s"/>
      <c r="I112" s="67" t="s"/>
      <c r="J112" s="67" t="s"/>
      <c r="K112" s="67" t="s"/>
      <c r="L112" s="67" t="s"/>
      <c r="M112" s="67" t="s"/>
      <c r="N112" s="67" t="s"/>
      <c r="O112" s="67" t="s"/>
      <c r="P112" s="67" t="s"/>
      <c r="Q112" s="67" t="s"/>
      <c r="R112" s="67" t="s"/>
      <c r="S112" s="67" t="s"/>
      <c r="T112" s="67" t="s"/>
      <c r="U112" s="67" t="s"/>
      <c r="V112" s="66" t="s"/>
      <c r="W112" s="66" t="s"/>
      <c r="X112" s="66" t="s"/>
      <c r="Y112" s="66" t="s"/>
      <c r="Z112" s="66" t="s"/>
    </row>
    <row r="113" spans="1:26" s="160" customFormat="true">
      <c r="A113" s="65" t="s"/>
      <c r="C113" s="68" t="s">
        <v>702</v>
      </c>
      <c r="D113" s="66" t="s"/>
      <c r="E113" s="66" t="s"/>
      <c r="F113" s="66" t="s"/>
      <c r="G113" s="66" t="s"/>
      <c r="H113" s="67" t="s"/>
      <c r="I113" s="67" t="s"/>
      <c r="J113" s="67" t="s"/>
      <c r="K113" s="67" t="s"/>
      <c r="L113" s="67" t="s"/>
      <c r="M113" s="67" t="s"/>
      <c r="N113" s="67" t="s"/>
      <c r="O113" s="67" t="s"/>
      <c r="P113" s="67" t="s"/>
      <c r="Q113" s="67" t="s"/>
      <c r="R113" s="67" t="s"/>
      <c r="S113" s="67" t="s"/>
      <c r="T113" s="67" t="s"/>
      <c r="U113" s="67" t="s"/>
      <c r="V113" s="66" t="s"/>
      <c r="W113" s="66" t="s"/>
      <c r="X113" s="66" t="s"/>
      <c r="Y113" s="66" t="s"/>
      <c r="Z113" s="66" t="s"/>
    </row>
    <row r="114" spans="1:26" s="160" customFormat="true">
      <c r="A114" s="65" t="s"/>
      <c r="C114" s="68" t="s">
        <v>703</v>
      </c>
      <c r="D114" s="66" t="s"/>
      <c r="E114" s="66" t="s"/>
      <c r="F114" s="66" t="s"/>
      <c r="G114" s="66" t="s"/>
      <c r="H114" s="67" t="s"/>
      <c r="I114" s="67" t="s"/>
      <c r="J114" s="67" t="s"/>
      <c r="K114" s="67" t="s"/>
      <c r="L114" s="67" t="s"/>
      <c r="M114" s="67" t="s"/>
      <c r="N114" s="67" t="s"/>
      <c r="O114" s="67" t="s"/>
      <c r="P114" s="67" t="s"/>
      <c r="Q114" s="67" t="s"/>
      <c r="R114" s="67" t="s"/>
      <c r="S114" s="67" t="s"/>
      <c r="T114" s="67" t="s"/>
      <c r="U114" s="67" t="s"/>
      <c r="V114" s="66" t="s"/>
      <c r="W114" s="66" t="s"/>
      <c r="X114" s="66" t="s"/>
      <c r="Y114" s="66" t="s"/>
      <c r="Z114" s="66" t="s"/>
    </row>
    <row r="115" spans="1:26" s="160" customFormat="true">
      <c r="A115" s="65" t="s"/>
      <c r="C115" s="68" t="s">
        <v>704</v>
      </c>
      <c r="D115" s="66" t="s"/>
      <c r="E115" s="66" t="s"/>
      <c r="F115" s="66" t="s"/>
      <c r="G115" s="66" t="s"/>
      <c r="H115" s="67" t="s"/>
      <c r="I115" s="67" t="s"/>
      <c r="J115" s="67" t="s"/>
      <c r="K115" s="67" t="s"/>
      <c r="L115" s="67" t="s"/>
      <c r="M115" s="67" t="s"/>
      <c r="N115" s="67" t="s"/>
      <c r="O115" s="67" t="s"/>
      <c r="P115" s="67" t="s"/>
      <c r="Q115" s="67" t="s"/>
      <c r="R115" s="67" t="s"/>
      <c r="S115" s="67" t="s"/>
      <c r="T115" s="67" t="s"/>
      <c r="U115" s="67" t="s"/>
      <c r="V115" s="66" t="s"/>
      <c r="W115" s="66" t="s"/>
      <c r="X115" s="66" t="s"/>
      <c r="Y115" s="66" t="s"/>
      <c r="Z115" s="66" t="s"/>
    </row>
    <row r="116" spans="1:26" s="160" customFormat="true">
      <c r="A116" s="65" t="s"/>
      <c r="C116" s="68" t="s">
        <v>705</v>
      </c>
      <c r="D116" s="66" t="s"/>
      <c r="E116" s="66" t="s"/>
      <c r="F116" s="66" t="s"/>
      <c r="G116" s="66" t="s"/>
      <c r="H116" s="67" t="s"/>
      <c r="I116" s="67" t="s"/>
      <c r="J116" s="67" t="s"/>
      <c r="K116" s="67" t="s"/>
      <c r="L116" s="67" t="s"/>
      <c r="M116" s="67" t="s"/>
      <c r="N116" s="67" t="s"/>
      <c r="O116" s="67" t="s"/>
      <c r="P116" s="67" t="s"/>
      <c r="Q116" s="67" t="s"/>
      <c r="R116" s="67" t="s"/>
      <c r="S116" s="67" t="s"/>
      <c r="T116" s="67" t="s"/>
      <c r="U116" s="67" t="s"/>
      <c r="V116" s="66" t="s"/>
      <c r="W116" s="66" t="s"/>
      <c r="X116" s="66" t="s"/>
      <c r="Y116" s="66" t="s"/>
      <c r="Z116" s="66" t="s"/>
    </row>
    <row r="117" spans="1:26" s="160" customFormat="true">
      <c r="A117" s="65" t="s"/>
      <c r="D117" s="66" t="s"/>
      <c r="E117" s="66" t="s"/>
      <c r="F117" s="66" t="s"/>
      <c r="G117" s="66" t="s"/>
      <c r="H117" s="67" t="s"/>
      <c r="I117" s="67" t="s"/>
      <c r="J117" s="67" t="s"/>
      <c r="K117" s="67" t="s"/>
      <c r="L117" s="67" t="s"/>
      <c r="M117" s="67" t="s"/>
      <c r="N117" s="67" t="s"/>
      <c r="O117" s="67" t="s"/>
      <c r="P117" s="67" t="s"/>
      <c r="Q117" s="67" t="s"/>
      <c r="R117" s="67" t="s"/>
      <c r="S117" s="67" t="s"/>
      <c r="T117" s="67" t="s"/>
      <c r="U117" s="67" t="s"/>
      <c r="V117" s="66" t="s"/>
      <c r="W117" s="66" t="s"/>
      <c r="X117" s="66" t="s"/>
      <c r="Y117" s="66" t="s"/>
      <c r="Z117" s="66" t="s"/>
    </row>
    <row r="118" spans="1:26" s="160" customFormat="true">
      <c r="A118" s="65" t="s"/>
      <c r="D118" s="61" t="s">
        <v>706</v>
      </c>
      <c r="E118" s="61" t="s">
        <v>707</v>
      </c>
      <c r="F118" s="61" t="s">
        <v>708</v>
      </c>
      <c r="G118" s="61" t="s">
        <v>709</v>
      </c>
      <c r="H118" s="69" t="s">
        <v>710</v>
      </c>
      <c r="I118" s="69" t="s">
        <v>711</v>
      </c>
      <c r="J118" s="69" t="s">
        <v>712</v>
      </c>
      <c r="K118" s="69" t="s">
        <v>713</v>
      </c>
      <c r="L118" s="69" t="s">
        <v>714</v>
      </c>
      <c r="M118" s="69" t="s">
        <v>715</v>
      </c>
      <c r="N118" s="69" t="s">
        <v>716</v>
      </c>
      <c r="O118" s="69" t="s">
        <v>717</v>
      </c>
      <c r="P118" s="69" t="s">
        <v>718</v>
      </c>
      <c r="Q118" s="69" t="s">
        <v>719</v>
      </c>
      <c r="R118" s="69" t="s">
        <v>720</v>
      </c>
      <c r="S118" s="69" t="s">
        <v>721</v>
      </c>
      <c r="T118" s="69" t="s">
        <v>722</v>
      </c>
      <c r="U118" s="69" t="s">
        <v>723</v>
      </c>
      <c r="V118" s="66" t="s"/>
      <c r="W118" s="66" t="s"/>
      <c r="X118" s="66" t="s"/>
      <c r="Y118" s="66" t="s"/>
      <c r="Z118" s="66" t="s"/>
    </row>
    <row r="119" spans="1:26" s="163" customFormat="true" ht="36.75" customHeight="true">
      <c r="A119" s="70" t="s"/>
      <c r="D119" s="62" t="s">
        <v>724</v>
      </c>
      <c r="E119" s="71" t="s">
        <v>725</v>
      </c>
      <c r="F119" s="62" t="s">
        <v>726</v>
      </c>
      <c r="G119" s="72" t="s">
        <v>727</v>
      </c>
      <c r="H119" s="62" t="s"/>
      <c r="I119" s="62" t="s"/>
      <c r="J119" s="62" t="s"/>
      <c r="K119" s="62" t="s"/>
      <c r="L119" s="62" t="s"/>
      <c r="M119" s="62" t="s"/>
      <c r="N119" s="62" t="s"/>
      <c r="O119" s="62" t="s"/>
      <c r="P119" s="62" t="s"/>
      <c r="Q119" s="62" t="s"/>
      <c r="R119" s="62" t="s"/>
      <c r="S119" s="62" t="s"/>
      <c r="T119" s="62" t="s"/>
      <c r="U119" s="62" t="s"/>
      <c r="V119" s="73" t="s"/>
      <c r="W119" s="73" t="s"/>
      <c r="X119" s="73" t="s"/>
      <c r="Y119" s="73" t="s"/>
      <c r="Z119" s="73" t="s"/>
    </row>
    <row r="120" spans="1:26" s="163" customFormat="true" ht="36.75" customHeight="true">
      <c r="A120" s="70" t="s"/>
      <c r="D120" s="63" t="s"/>
      <c r="E120" s="71" t="s">
        <v>728</v>
      </c>
      <c r="F120" s="63" t="s"/>
      <c r="G120" s="74" t="s"/>
      <c r="H120" s="62" t="s"/>
      <c r="I120" s="62" t="s"/>
      <c r="J120" s="62" t="s"/>
      <c r="K120" s="62" t="s"/>
      <c r="L120" s="62" t="s"/>
      <c r="M120" s="62" t="s"/>
      <c r="N120" s="62" t="s"/>
      <c r="O120" s="62" t="s"/>
      <c r="P120" s="62" t="s"/>
      <c r="Q120" s="62" t="s"/>
      <c r="R120" s="62" t="s"/>
      <c r="S120" s="62" t="s"/>
      <c r="T120" s="62" t="s"/>
      <c r="U120" s="62" t="s"/>
      <c r="V120" s="73" t="s"/>
      <c r="W120" s="73" t="s"/>
      <c r="X120" s="73" t="s"/>
      <c r="Y120" s="73" t="s"/>
      <c r="Z120" s="73" t="s"/>
    </row>
    <row r="121" spans="1:26" s="163" customFormat="true" ht="36.75" customHeight="true">
      <c r="A121" s="70" t="s"/>
      <c r="D121" s="63" t="s"/>
      <c r="E121" s="71" t="s">
        <v>729</v>
      </c>
      <c r="F121" s="63" t="s"/>
      <c r="G121" s="62" t="s">
        <v>730</v>
      </c>
      <c r="H121" s="62" t="s"/>
      <c r="I121" s="62" t="s"/>
      <c r="J121" s="62" t="s"/>
      <c r="K121" s="62" t="s"/>
      <c r="L121" s="62" t="s"/>
      <c r="M121" s="62" t="s"/>
      <c r="N121" s="62" t="s"/>
      <c r="O121" s="62" t="s"/>
      <c r="P121" s="62" t="s"/>
      <c r="Q121" s="62" t="s"/>
      <c r="R121" s="62" t="s"/>
      <c r="S121" s="62" t="s"/>
      <c r="T121" s="62" t="s"/>
      <c r="U121" s="62" t="s"/>
      <c r="V121" s="73" t="s"/>
      <c r="W121" s="73" t="s"/>
      <c r="X121" s="73" t="s"/>
      <c r="Y121" s="73" t="s"/>
      <c r="Z121" s="73" t="s"/>
    </row>
    <row r="122" spans="1:26" s="163" customFormat="true" ht="36.75" customHeight="true">
      <c r="A122" s="70" t="s"/>
      <c r="D122" s="63" t="s"/>
      <c r="E122" s="71" t="s">
        <v>731</v>
      </c>
      <c r="F122" s="62" t="s">
        <v>726</v>
      </c>
      <c r="G122" s="62" t="s">
        <v>732</v>
      </c>
      <c r="H122" s="71" t="s"/>
      <c r="I122" s="62" t="s"/>
      <c r="J122" s="62" t="s"/>
      <c r="K122" s="62" t="s"/>
      <c r="L122" s="62" t="s"/>
      <c r="M122" s="62" t="s"/>
      <c r="N122" s="62" t="s"/>
      <c r="O122" s="62" t="s"/>
      <c r="P122" s="62" t="s"/>
      <c r="Q122" s="62" t="s"/>
      <c r="R122" s="62" t="s"/>
      <c r="S122" s="62" t="s"/>
      <c r="T122" s="62" t="s"/>
      <c r="U122" s="62" t="s"/>
      <c r="V122" s="73" t="s"/>
      <c r="W122" s="73" t="s"/>
      <c r="X122" s="73" t="s"/>
      <c r="Y122" s="73" t="s"/>
      <c r="Z122" s="73" t="s"/>
    </row>
    <row r="123" spans="1:26" s="163" customFormat="true" ht="36.75" customHeight="true">
      <c r="A123" s="70" t="s"/>
      <c r="D123" s="63" t="s"/>
      <c r="E123" s="62" t="s">
        <v>733</v>
      </c>
      <c r="F123" s="75" t="s">
        <v>726</v>
      </c>
      <c r="G123" s="62" t="s">
        <v>734</v>
      </c>
      <c r="H123" s="71" t="s"/>
      <c r="I123" s="62" t="s"/>
      <c r="J123" s="62" t="s"/>
      <c r="K123" s="62" t="s"/>
      <c r="L123" s="62" t="s"/>
      <c r="M123" s="62" t="s"/>
      <c r="N123" s="62" t="s"/>
      <c r="O123" s="62" t="s"/>
      <c r="P123" s="62" t="s"/>
      <c r="Q123" s="62" t="s"/>
      <c r="R123" s="62" t="s"/>
      <c r="S123" s="62" t="s"/>
      <c r="T123" s="62" t="s"/>
      <c r="U123" s="62" t="s"/>
      <c r="V123" s="73" t="s"/>
      <c r="W123" s="73" t="s"/>
      <c r="X123" s="73" t="s"/>
      <c r="Y123" s="73" t="s"/>
      <c r="Z123" s="73" t="s"/>
    </row>
    <row r="124" spans="1:26" s="163" customFormat="true" ht="36.75" customHeight="true">
      <c r="A124" s="70" t="s"/>
      <c r="D124" s="63" t="s"/>
      <c r="E124" s="62" t="s">
        <v>735</v>
      </c>
      <c r="F124" s="75" t="s">
        <v>736</v>
      </c>
      <c r="G124" s="62" t="s">
        <v>734</v>
      </c>
      <c r="H124" s="71" t="s"/>
      <c r="I124" s="62" t="s"/>
      <c r="J124" s="62" t="s"/>
      <c r="K124" s="62" t="s"/>
      <c r="L124" s="62" t="s"/>
      <c r="M124" s="62" t="s"/>
      <c r="N124" s="62" t="s"/>
      <c r="O124" s="62" t="s"/>
      <c r="P124" s="62" t="s"/>
      <c r="Q124" s="62" t="s"/>
      <c r="R124" s="62" t="s"/>
      <c r="S124" s="62" t="s"/>
      <c r="T124" s="62" t="s"/>
      <c r="U124" s="62" t="s"/>
      <c r="V124" s="73" t="s"/>
      <c r="W124" s="73" t="s"/>
      <c r="X124" s="73" t="s"/>
      <c r="Y124" s="73" t="s"/>
      <c r="Z124" s="73" t="s"/>
    </row>
    <row r="125" spans="1:26" s="163" customFormat="true" ht="36.75" customHeight="true">
      <c r="A125" s="70" t="s"/>
      <c r="D125" s="63" t="s"/>
      <c r="E125" s="62" t="s">
        <v>737</v>
      </c>
      <c r="F125" s="75" t="s">
        <v>738</v>
      </c>
      <c r="G125" s="62" t="s">
        <v>734</v>
      </c>
      <c r="H125" s="71" t="s"/>
      <c r="I125" s="62" t="s"/>
      <c r="J125" s="62" t="s"/>
      <c r="K125" s="62" t="s"/>
      <c r="L125" s="62" t="s"/>
      <c r="M125" s="62" t="s"/>
      <c r="N125" s="62" t="s"/>
      <c r="O125" s="62" t="s"/>
      <c r="P125" s="62" t="s"/>
      <c r="Q125" s="62" t="s"/>
      <c r="R125" s="62" t="s"/>
      <c r="S125" s="62" t="s"/>
      <c r="T125" s="62" t="s"/>
      <c r="U125" s="62" t="s"/>
      <c r="V125" s="73" t="s"/>
      <c r="W125" s="73" t="s"/>
      <c r="X125" s="73" t="s"/>
      <c r="Y125" s="73" t="s"/>
      <c r="Z125" s="73" t="s"/>
    </row>
    <row r="126" spans="1:26" s="163" customFormat="true" ht="36.75" customHeight="true">
      <c r="A126" s="70" t="s"/>
      <c r="D126" s="63" t="s"/>
      <c r="E126" s="62" t="s">
        <v>739</v>
      </c>
      <c r="F126" s="75" t="s">
        <v>740</v>
      </c>
      <c r="G126" s="62" t="s">
        <v>734</v>
      </c>
      <c r="H126" s="71" t="s"/>
      <c r="I126" s="62" t="s"/>
      <c r="J126" s="62" t="s"/>
      <c r="K126" s="62" t="s"/>
      <c r="L126" s="62" t="s"/>
      <c r="M126" s="62" t="s"/>
      <c r="N126" s="62" t="s"/>
      <c r="O126" s="62" t="s"/>
      <c r="P126" s="62" t="s"/>
      <c r="Q126" s="62" t="s"/>
      <c r="R126" s="62" t="s"/>
      <c r="S126" s="62" t="s"/>
      <c r="T126" s="62" t="s"/>
      <c r="U126" s="62" t="s"/>
      <c r="V126" s="73" t="s"/>
      <c r="W126" s="73" t="s"/>
      <c r="X126" s="73" t="s"/>
      <c r="Y126" s="73" t="s"/>
      <c r="Z126" s="73" t="s"/>
    </row>
    <row r="127" spans="1:26" s="163" customFormat="true" ht="36.75" customHeight="true">
      <c r="A127" s="70" t="s"/>
      <c r="D127" s="62" t="s">
        <v>741</v>
      </c>
      <c r="E127" s="62" t="s">
        <v>742</v>
      </c>
      <c r="F127" s="76" t="s">
        <v>743</v>
      </c>
      <c r="G127" s="62" t="s">
        <v>726</v>
      </c>
      <c r="H127" s="71" t="s"/>
      <c r="I127" s="62" t="s"/>
      <c r="J127" s="62" t="s"/>
      <c r="K127" s="62" t="s"/>
      <c r="L127" s="62" t="s"/>
      <c r="M127" s="62" t="s"/>
      <c r="N127" s="62" t="s"/>
      <c r="O127" s="62" t="s"/>
      <c r="P127" s="62" t="s"/>
      <c r="Q127" s="62" t="s"/>
      <c r="R127" s="62" t="s"/>
      <c r="S127" s="62" t="s"/>
      <c r="T127" s="62" t="s"/>
      <c r="U127" s="62" t="s"/>
      <c r="V127" s="73" t="s"/>
      <c r="W127" s="73" t="s"/>
      <c r="X127" s="73" t="s"/>
      <c r="Y127" s="73" t="s"/>
      <c r="Z127" s="73" t="s"/>
    </row>
    <row r="128" spans="1:26" s="163" customFormat="true" ht="36.75" customHeight="true">
      <c r="A128" s="70" t="s"/>
      <c r="D128" s="63" t="s"/>
      <c r="E128" s="62" t="s">
        <v>744</v>
      </c>
      <c r="F128" s="74" t="s"/>
      <c r="G128" s="62" t="s">
        <v>726</v>
      </c>
      <c r="H128" s="71" t="s"/>
      <c r="I128" s="62" t="s"/>
      <c r="J128" s="62" t="s"/>
      <c r="K128" s="62" t="s"/>
      <c r="L128" s="62" t="s"/>
      <c r="M128" s="62" t="s"/>
      <c r="N128" s="62" t="s"/>
      <c r="O128" s="62" t="s"/>
      <c r="P128" s="62" t="s"/>
      <c r="Q128" s="62" t="s"/>
      <c r="R128" s="62" t="s"/>
      <c r="S128" s="62" t="s"/>
      <c r="T128" s="62" t="s"/>
      <c r="U128" s="62" t="s"/>
      <c r="V128" s="73" t="s"/>
      <c r="W128" s="73" t="s"/>
      <c r="X128" s="73" t="s"/>
      <c r="Y128" s="73" t="s"/>
      <c r="Z128" s="73" t="s"/>
    </row>
    <row r="129" spans="1:26" s="163" customFormat="true" ht="36.75" customHeight="true">
      <c r="A129" s="70" t="s"/>
      <c r="D129" s="62" t="s">
        <v>745</v>
      </c>
      <c r="E129" s="62" t="s">
        <v>746</v>
      </c>
      <c r="F129" s="72" t="s">
        <v>726</v>
      </c>
      <c r="G129" s="72" t="s">
        <v>747</v>
      </c>
      <c r="H129" s="71" t="s"/>
      <c r="I129" s="62" t="s"/>
      <c r="J129" s="62" t="s"/>
      <c r="K129" s="62" t="s"/>
      <c r="L129" s="62" t="s"/>
      <c r="M129" s="62" t="s"/>
      <c r="N129" s="62" t="s"/>
      <c r="O129" s="62" t="s"/>
      <c r="P129" s="62" t="s"/>
      <c r="Q129" s="62" t="s"/>
      <c r="R129" s="62" t="s"/>
      <c r="S129" s="62" t="s"/>
      <c r="T129" s="62" t="s"/>
      <c r="U129" s="62" t="s"/>
      <c r="V129" s="73" t="s"/>
      <c r="W129" s="73" t="s"/>
      <c r="X129" s="73" t="s"/>
      <c r="Y129" s="73" t="s"/>
      <c r="Z129" s="73" t="s"/>
    </row>
    <row r="130" spans="1:26" s="163" customFormat="true" ht="36.75" customHeight="true">
      <c r="A130" s="70" t="s"/>
      <c r="D130" s="63" t="s"/>
      <c r="E130" s="62" t="s">
        <v>748</v>
      </c>
      <c r="F130" s="74" t="s"/>
      <c r="G130" s="74" t="s"/>
      <c r="H130" s="71" t="s"/>
      <c r="I130" s="62" t="s"/>
      <c r="J130" s="62" t="s"/>
      <c r="K130" s="62" t="s"/>
      <c r="L130" s="62" t="s"/>
      <c r="M130" s="62" t="s"/>
      <c r="N130" s="62" t="s"/>
      <c r="O130" s="62" t="s"/>
      <c r="P130" s="62" t="s"/>
      <c r="Q130" s="62" t="s"/>
      <c r="R130" s="62" t="s"/>
      <c r="S130" s="62" t="s"/>
      <c r="T130" s="62" t="s"/>
      <c r="U130" s="62" t="s"/>
      <c r="V130" s="73" t="s"/>
      <c r="W130" s="73" t="s"/>
      <c r="X130" s="73" t="s"/>
      <c r="Y130" s="73" t="s"/>
      <c r="Z130" s="73" t="s"/>
    </row>
    <row r="131" spans="1:26" s="163" customFormat="true" ht="36.75" customHeight="true">
      <c r="A131" s="70" t="s"/>
      <c r="D131" s="72" t="s">
        <v>749</v>
      </c>
      <c r="E131" s="62" t="s">
        <v>750</v>
      </c>
      <c r="F131" s="72" t="s">
        <v>726</v>
      </c>
      <c r="G131" s="77" t="s">
        <v>751</v>
      </c>
      <c r="H131" s="71" t="s"/>
      <c r="I131" s="62" t="s"/>
      <c r="J131" s="62" t="s"/>
      <c r="K131" s="62" t="s"/>
      <c r="L131" s="62" t="s"/>
      <c r="M131" s="62" t="s"/>
      <c r="N131" s="62" t="s"/>
      <c r="O131" s="62" t="s"/>
      <c r="P131" s="62" t="s"/>
      <c r="Q131" s="62" t="s"/>
      <c r="R131" s="62" t="s"/>
      <c r="S131" s="62" t="s"/>
      <c r="T131" s="62" t="s"/>
      <c r="U131" s="62" t="s"/>
      <c r="V131" s="73" t="s"/>
      <c r="W131" s="73" t="s"/>
      <c r="X131" s="73" t="s"/>
      <c r="Y131" s="73" t="s"/>
      <c r="Z131" s="73" t="s"/>
    </row>
    <row r="132" spans="1:26" s="163" customFormat="true" ht="36.75" customHeight="true">
      <c r="A132" s="70" t="s"/>
      <c r="D132" s="78" t="s"/>
      <c r="E132" s="62" t="s">
        <v>752</v>
      </c>
      <c r="F132" s="78" t="s"/>
      <c r="G132" s="62" t="s">
        <v>753</v>
      </c>
      <c r="H132" s="71" t="s"/>
      <c r="I132" s="62" t="s"/>
      <c r="J132" s="62" t="s"/>
      <c r="K132" s="62" t="s"/>
      <c r="L132" s="62" t="s"/>
      <c r="M132" s="62" t="s"/>
      <c r="N132" s="62" t="s"/>
      <c r="O132" s="62" t="s"/>
      <c r="P132" s="62" t="s"/>
      <c r="Q132" s="62" t="s"/>
      <c r="R132" s="62" t="s"/>
      <c r="S132" s="62" t="s"/>
      <c r="T132" s="62" t="s"/>
      <c r="U132" s="62" t="s"/>
      <c r="V132" s="73" t="s"/>
      <c r="W132" s="73" t="s"/>
      <c r="X132" s="73" t="s"/>
      <c r="Y132" s="73" t="s"/>
      <c r="Z132" s="73" t="s"/>
    </row>
    <row r="133" spans="1:26" s="163" customFormat="true" ht="36.75" customHeight="true">
      <c r="A133" s="70" t="s"/>
      <c r="D133" s="78" t="s"/>
      <c r="E133" s="62" t="s">
        <v>754</v>
      </c>
      <c r="F133" s="78" t="s"/>
      <c r="G133" s="62" t="s">
        <v>753</v>
      </c>
      <c r="H133" s="71" t="s"/>
      <c r="I133" s="62" t="s"/>
      <c r="J133" s="62" t="s"/>
      <c r="K133" s="62" t="s"/>
      <c r="L133" s="62" t="s"/>
      <c r="M133" s="62" t="s"/>
      <c r="N133" s="62" t="s"/>
      <c r="O133" s="62" t="s"/>
      <c r="P133" s="62" t="s"/>
      <c r="Q133" s="62" t="s"/>
      <c r="R133" s="62" t="s"/>
      <c r="S133" s="62" t="s"/>
      <c r="T133" s="62" t="s"/>
      <c r="U133" s="62" t="s"/>
      <c r="V133" s="73" t="s"/>
      <c r="W133" s="73" t="s"/>
      <c r="X133" s="73" t="s"/>
      <c r="Y133" s="73" t="s"/>
      <c r="Z133" s="73" t="s"/>
    </row>
    <row r="134" spans="1:26" s="163" customFormat="true" ht="36.75" customHeight="true">
      <c r="A134" s="70" t="s"/>
      <c r="D134" s="78" t="s"/>
      <c r="E134" s="62" t="s">
        <v>755</v>
      </c>
      <c r="F134" s="78" t="s"/>
      <c r="G134" s="62" t="s">
        <v>753</v>
      </c>
      <c r="H134" s="71" t="s"/>
      <c r="I134" s="62" t="s"/>
      <c r="J134" s="62" t="s"/>
      <c r="K134" s="62" t="s"/>
      <c r="L134" s="62" t="s"/>
      <c r="M134" s="62" t="s"/>
      <c r="N134" s="62" t="s"/>
      <c r="O134" s="62" t="s"/>
      <c r="P134" s="62" t="s"/>
      <c r="Q134" s="62" t="s"/>
      <c r="R134" s="62" t="s"/>
      <c r="S134" s="62" t="s"/>
      <c r="T134" s="62" t="s"/>
      <c r="U134" s="62" t="s"/>
      <c r="V134" s="73" t="s"/>
      <c r="W134" s="73" t="s"/>
      <c r="X134" s="73" t="s"/>
      <c r="Y134" s="73" t="s"/>
      <c r="Z134" s="73" t="s"/>
    </row>
    <row r="135" spans="1:26" s="163" customFormat="true" ht="36.75" customHeight="true">
      <c r="A135" s="70" t="s"/>
      <c r="D135" s="74" t="s"/>
      <c r="E135" s="62" t="s">
        <v>756</v>
      </c>
      <c r="F135" s="74" t="s"/>
      <c r="G135" s="62" t="s">
        <v>753</v>
      </c>
      <c r="H135" s="71" t="s"/>
      <c r="I135" s="62" t="s"/>
      <c r="J135" s="62" t="s"/>
      <c r="K135" s="62" t="s"/>
      <c r="L135" s="62" t="s"/>
      <c r="M135" s="62" t="s"/>
      <c r="N135" s="62" t="s"/>
      <c r="O135" s="62" t="s"/>
      <c r="P135" s="62" t="s"/>
      <c r="Q135" s="62" t="s"/>
      <c r="R135" s="62" t="s"/>
      <c r="S135" s="62" t="s"/>
      <c r="T135" s="62" t="s"/>
      <c r="U135" s="62" t="s"/>
      <c r="V135" s="73" t="s"/>
      <c r="W135" s="73" t="s"/>
      <c r="X135" s="73" t="s"/>
      <c r="Y135" s="73" t="s"/>
      <c r="Z135" s="73" t="s"/>
    </row>
    <row r="136" spans="5:11">
      <c r="E136" s="79" t="s"/>
      <c r="K136" s="25" t="s"/>
    </row>
    <row r="137" spans="1:11">
      <c r="A137" s="23" t="s">
        <v>757</v>
      </c>
      <c r="E137" s="79" t="s"/>
      <c r="K137" s="25" t="s"/>
    </row>
    <row r="138" spans="2:11">
      <c r="B138" s="25" t="s">
        <v>758</v>
      </c>
      <c r="C138" s="25" t="s"/>
      <c r="D138" s="25" t="s"/>
      <c r="E138" s="25" t="s"/>
      <c r="F138" s="25" t="s"/>
      <c r="K138" s="25" t="s"/>
    </row>
    <row r="139" spans="3:11">
      <c r="C139" s="25" t="s">
        <v>759</v>
      </c>
      <c r="D139" s="25" t="s"/>
      <c r="E139" s="25" t="s"/>
      <c r="F139" s="25" t="s"/>
      <c r="G139" s="25" t="s"/>
      <c r="K139" s="25" t="s"/>
    </row>
    <row r="140" spans="4:8">
      <c r="D140" s="80" t="s">
        <v>760</v>
      </c>
      <c r="E140" s="61" t="s">
        <v>761</v>
      </c>
      <c r="F140" s="61" t="s">
        <v>762</v>
      </c>
      <c r="G140" s="61" t="s">
        <v>763</v>
      </c>
      <c r="H140" s="61" t="s">
        <v>764</v>
      </c>
    </row>
    <row r="141" spans="4:8">
      <c r="D141" s="81">
        <v>0.015</v>
      </c>
      <c r="E141" s="47">
        <f>=D141*40000000</f>
        <v>600000</v>
      </c>
      <c r="F141" s="82">
        <v>0.03</v>
      </c>
      <c r="G141" s="64">
        <f>=F141*E141</f>
        <v>18000</v>
      </c>
      <c r="H141" s="45">
        <f>=G141*15</f>
        <v>270000</v>
      </c>
    </row>
    <row r="142" spans="3:7">
      <c r="C142" s="25" t="s"/>
      <c r="D142" s="25" t="s"/>
      <c r="E142" s="25" t="s"/>
      <c r="F142" s="25" t="s"/>
      <c r="G142" s="25" t="s"/>
    </row>
    <row r="143" spans="3:7">
      <c r="C143" s="25" t="s">
        <v>765</v>
      </c>
      <c r="D143" s="25" t="s"/>
      <c r="E143" s="25" t="s"/>
      <c r="F143" s="25" t="s"/>
      <c r="G143" s="25" t="s"/>
    </row>
    <row r="144" spans="3:7">
      <c r="C144" s="25" t="s"/>
      <c r="D144" s="25" t="s"/>
      <c r="E144" s="25" t="s"/>
      <c r="F144" s="25" t="s"/>
      <c r="G144" s="25" t="s"/>
    </row>
    <row r="145" spans="4:7">
      <c r="D145" s="61" t="s">
        <v>761</v>
      </c>
      <c r="E145" s="61" t="s">
        <v>762</v>
      </c>
      <c r="F145" s="61" t="s">
        <v>763</v>
      </c>
      <c r="G145" s="61" t="s">
        <v>764</v>
      </c>
    </row>
    <row r="146" spans="4:7">
      <c r="D146" s="83">
        <f>=25000*30</f>
        <v>750000</v>
      </c>
      <c r="E146" s="82">
        <v>0.03</v>
      </c>
      <c r="F146" s="45">
        <f>=E146*D146</f>
        <v>22500</v>
      </c>
      <c r="G146" s="45">
        <f>=F146*15</f>
        <v>337500</v>
      </c>
    </row>
    <row r="148" spans="2:4">
      <c r="B148" s="25" t="s">
        <v>766</v>
      </c>
      <c r="C148" s="25" t="s"/>
      <c r="D148" s="25" t="s"/>
    </row>
    <row r="149" spans="2:4">
      <c r="B149" s="25" t="s"/>
      <c r="C149" s="25" t="s">
        <v>767</v>
      </c>
      <c r="D149" s="25" t="s"/>
    </row>
    <row r="150" spans="2:4">
      <c r="B150" s="25" t="s"/>
      <c r="C150" s="27" t="s">
        <v>768</v>
      </c>
      <c r="D150" s="25" t="s"/>
    </row>
    <row r="151" spans="2:4">
      <c r="B151" s="25" t="s"/>
      <c r="C151" s="25" t="s"/>
      <c r="D151" s="25" t="s"/>
    </row>
    <row r="152" spans="2:4">
      <c r="B152" s="25" t="s"/>
      <c r="C152" s="25" t="s"/>
      <c r="D152" s="25" t="s">
        <v>769</v>
      </c>
    </row>
    <row r="153" spans="2:4">
      <c r="B153" s="25" t="s"/>
      <c r="C153" s="25" t="s"/>
      <c r="D153" s="25" t="s">
        <v>770</v>
      </c>
    </row>
    <row r="154" spans="2:5">
      <c r="B154" s="25" t="s"/>
      <c r="C154" s="25" t="s"/>
      <c r="E154" s="25" t="s">
        <v>771</v>
      </c>
    </row>
    <row r="155" spans="2:5">
      <c r="B155" s="25" t="s"/>
      <c r="C155" s="25" t="s"/>
      <c r="E155" s="25" t="s">
        <v>772</v>
      </c>
    </row>
    <row r="156" spans="2:5">
      <c r="B156" s="25" t="s"/>
      <c r="C156" s="25" t="s"/>
      <c r="E156" s="25" t="s">
        <v>773</v>
      </c>
    </row>
    <row r="157" spans="2:4">
      <c r="B157" s="25" t="s"/>
      <c r="C157" s="25" t="s"/>
      <c r="D157" s="25" t="s"/>
    </row>
    <row r="158" spans="2:4">
      <c r="B158" s="25" t="s"/>
      <c r="C158" s="25" t="s"/>
      <c r="D158" s="25" t="s">
        <v>774</v>
      </c>
    </row>
    <row r="159" spans="2:4">
      <c r="B159" s="25" t="s"/>
      <c r="C159" s="25" t="s"/>
      <c r="D159" s="27" t="s">
        <v>775</v>
      </c>
    </row>
    <row r="160" spans="2:5">
      <c r="B160" s="25" t="s"/>
      <c r="C160" s="25" t="s"/>
      <c r="E160" s="25" t="s">
        <v>776</v>
      </c>
    </row>
    <row r="161" spans="2:5">
      <c r="B161" s="25" t="s"/>
      <c r="C161" s="25" t="s"/>
      <c r="D161" s="25" t="s"/>
      <c r="E161" s="25" t="s">
        <v>777</v>
      </c>
    </row>
    <row r="162" spans="2:5">
      <c r="B162" s="25" t="s"/>
      <c r="C162" s="25" t="s"/>
      <c r="D162" s="25" t="s"/>
      <c r="E162" s="27" t="s">
        <v>778</v>
      </c>
    </row>
    <row r="163" spans="2:4">
      <c r="B163" s="25" t="s"/>
      <c r="C163" s="25" t="s"/>
      <c r="D163" s="25" t="s"/>
    </row>
    <row r="164" spans="2:4">
      <c r="B164" s="25" t="s"/>
      <c r="C164" s="25" t="s"/>
      <c r="D164" s="25" t="s">
        <v>779</v>
      </c>
    </row>
    <row r="165" spans="4:4">
      <c r="D165" s="27" t="s">
        <v>780</v>
      </c>
    </row>
    <row r="166" spans="5:5">
      <c r="E166" s="25" t="s">
        <v>781</v>
      </c>
    </row>
    <row r="167" spans="5:5">
      <c r="E167" s="27" t="s">
        <v>782</v>
      </c>
    </row>
    <row r="168" spans="5:5">
      <c r="E168" s="27" t="s">
        <v>783</v>
      </c>
    </row>
    <row r="169" spans="5:5">
      <c r="E169" s="27" t="s">
        <v>784</v>
      </c>
    </row>
    <row r="170" spans="2:2">
      <c r="B170" s="25" t="s"/>
    </row>
    <row r="171" spans="2:3">
      <c r="B171" s="25" t="s"/>
      <c r="C171" s="27" t="s">
        <v>785</v>
      </c>
    </row>
    <row r="172" spans="2:4">
      <c r="B172" s="25" t="s"/>
      <c r="D172" s="25" t="s"/>
    </row>
    <row r="173" spans="2:4">
      <c r="B173" s="25" t="s"/>
      <c r="D173" s="25" t="s">
        <v>786</v>
      </c>
    </row>
    <row r="174" spans="2:6">
      <c r="B174" s="25" t="s"/>
      <c r="E174" s="84" t="s">
        <v>787</v>
      </c>
      <c r="F174" s="64" t="s">
        <v>788</v>
      </c>
    </row>
    <row r="175" spans="2:6">
      <c r="B175" s="25" t="s"/>
      <c r="E175" s="82">
        <v>0.6</v>
      </c>
      <c r="F175" s="45">
        <f>=E175*(G146+H141)</f>
        <v>364500</v>
      </c>
    </row>
    <row r="176" spans="2:2">
      <c r="B176" s="25" t="s"/>
    </row>
    <row r="177" spans="2:4">
      <c r="B177" s="25" t="s"/>
      <c r="D177" s="27" t="s">
        <v>789</v>
      </c>
    </row>
    <row r="178" spans="2:13" ht="31.5" customHeight="true">
      <c r="B178" s="25" t="s"/>
      <c r="E178" s="84" t="s"/>
      <c r="F178" s="75" t="s">
        <v>790</v>
      </c>
      <c r="G178" s="84" t="s">
        <v>791</v>
      </c>
      <c r="H178" s="84" t="s">
        <v>792</v>
      </c>
      <c r="I178" s="84" t="s">
        <v>793</v>
      </c>
      <c r="J178" s="84" t="s">
        <v>794</v>
      </c>
      <c r="K178" s="84" t="s">
        <v>795</v>
      </c>
      <c r="L178" s="62" t="s">
        <v>796</v>
      </c>
      <c r="M178" s="64" t="s">
        <v>797</v>
      </c>
    </row>
    <row r="179" spans="2:13" ht="31.5" customHeight="true">
      <c r="B179" s="25" t="s"/>
      <c r="E179" s="64" t="s">
        <v>798</v>
      </c>
      <c r="F179" s="45">
        <f>=F184/$E$175</f>
        <v>83333.3333333334</v>
      </c>
      <c r="G179" s="45">
        <f>=G184/$E$175</f>
        <v>125000</v>
      </c>
      <c r="H179" s="45">
        <f>=H184/$E$175</f>
        <v>83333.3333333334</v>
      </c>
      <c r="I179" s="45">
        <f>=I184/$E$175</f>
        <v>2666.66666666667</v>
      </c>
      <c r="J179" s="45">
        <f>=J184/$E$175</f>
        <v>12500</v>
      </c>
      <c r="K179" s="45">
        <f>=K184/$E$175</f>
        <v>45000</v>
      </c>
      <c r="L179" s="45">
        <f>=L184/$E$175</f>
        <v>166666.666666667</v>
      </c>
      <c r="M179" s="45">
        <f>=M184/$E$175</f>
        <v>41666.6666666667</v>
      </c>
    </row>
    <row r="180" spans="2:13" ht="31.5" customHeight="true">
      <c r="B180" s="25" t="s"/>
      <c r="E180" s="64" t="s">
        <v>799</v>
      </c>
      <c r="F180" s="84" t="s">
        <v>800</v>
      </c>
      <c r="G180" s="84" t="s">
        <v>801</v>
      </c>
      <c r="H180" s="84" t="s">
        <v>802</v>
      </c>
      <c r="I180" s="84" t="s">
        <v>803</v>
      </c>
      <c r="J180" s="84" t="s">
        <v>804</v>
      </c>
      <c r="K180" s="64" t="s">
        <v>805</v>
      </c>
      <c r="L180" s="64" t="s">
        <v>800</v>
      </c>
      <c r="M180" s="64" t="s">
        <v>801</v>
      </c>
    </row>
    <row r="181" spans="2:13" ht="31.5" customHeight="true">
      <c r="B181" s="25" t="s"/>
      <c r="E181" s="85" t="s"/>
      <c r="F181" s="83">
        <v>50000</v>
      </c>
      <c r="G181" s="47">
        <v>150</v>
      </c>
      <c r="H181" s="82">
        <v>0.2</v>
      </c>
      <c r="I181" s="47">
        <v>1</v>
      </c>
      <c r="J181" s="47">
        <v>150</v>
      </c>
      <c r="K181" s="47">
        <v>90</v>
      </c>
      <c r="L181" s="83">
        <v>100000</v>
      </c>
      <c r="M181" s="47">
        <v>50</v>
      </c>
    </row>
    <row r="182" spans="2:13" ht="31.5" customHeight="true">
      <c r="B182" s="25" t="s"/>
      <c r="E182" s="86" t="s"/>
      <c r="F182" s="84" t="s">
        <v>806</v>
      </c>
      <c r="G182" s="64" t="s">
        <v>807</v>
      </c>
      <c r="H182" s="84" t="s">
        <v>807</v>
      </c>
      <c r="I182" s="84" t="s">
        <v>693</v>
      </c>
      <c r="J182" s="84" t="s">
        <v>808</v>
      </c>
      <c r="K182" s="84" t="s">
        <v>808</v>
      </c>
      <c r="L182" s="64" t="s">
        <v>806</v>
      </c>
      <c r="M182" s="64" t="s">
        <v>807</v>
      </c>
    </row>
    <row r="183" spans="2:13" ht="31.5" customHeight="true">
      <c r="B183" s="25" t="s"/>
      <c r="E183" s="85" t="s"/>
      <c r="F183" s="47">
        <v>1</v>
      </c>
      <c r="G183" s="47">
        <v>500</v>
      </c>
      <c r="H183" s="83">
        <v>1000</v>
      </c>
      <c r="I183" s="47" t="s">
        <v>693</v>
      </c>
      <c r="J183" s="47">
        <v>50</v>
      </c>
      <c r="K183" s="47">
        <v>300</v>
      </c>
      <c r="L183" s="47">
        <v>1</v>
      </c>
      <c r="M183" s="47">
        <v>500</v>
      </c>
    </row>
    <row r="184" spans="2:13" ht="31.5" customHeight="true">
      <c r="B184" s="25" t="s"/>
      <c r="E184" s="64" t="s">
        <v>809</v>
      </c>
      <c r="F184" s="45">
        <f>=F183*F181</f>
        <v>50000</v>
      </c>
      <c r="G184" s="45">
        <f>=G183*G181</f>
        <v>75000</v>
      </c>
      <c r="H184" s="45">
        <f>=F181*H181/200*H183</f>
        <v>50000</v>
      </c>
      <c r="I184" s="64">
        <f>=I181*1600</f>
        <v>1600</v>
      </c>
      <c r="J184" s="45">
        <f>=J183*J181</f>
        <v>7500</v>
      </c>
      <c r="K184" s="45">
        <f>=K183*K181</f>
        <v>27000</v>
      </c>
      <c r="L184" s="45">
        <f>=L183*L181</f>
        <v>100000</v>
      </c>
      <c r="M184" s="45">
        <f>=M183*M181</f>
        <v>25000</v>
      </c>
    </row>
    <row r="185" spans="2:7">
      <c r="B185" s="25" t="s"/>
      <c r="C185" s="25" t="s"/>
      <c r="F185" s="87" t="s"/>
      <c r="G185" s="25" t="s"/>
    </row>
    <row r="186" spans="2:7">
      <c r="B186" s="25" t="s"/>
      <c r="C186" s="25" t="s"/>
      <c r="F186" s="87" t="s"/>
      <c r="G186" s="25" t="s"/>
    </row>
    <row r="187" spans="1:7">
      <c r="A187" s="23" t="s"/>
      <c r="B187" s="25" t="s"/>
      <c r="C187" s="25" t="s"/>
      <c r="F187" s="87" t="s"/>
      <c r="G187" s="25" t="s"/>
    </row>
    <row r="188" spans="1:3">
      <c r="A188" s="23" t="s">
        <v>810</v>
      </c>
      <c r="B188" s="25" t="s"/>
      <c r="C188" s="25" t="s"/>
    </row>
    <row r="189" spans="1:3">
      <c r="A189" s="23" t="s"/>
      <c r="B189" s="88" t="s">
        <v>811</v>
      </c>
      <c r="C189" s="25" t="s"/>
    </row>
    <row r="190" spans="1:3">
      <c r="A190" s="23" t="s"/>
      <c r="B190" s="88" t="s">
        <v>812</v>
      </c>
      <c r="C190" s="25" t="s"/>
    </row>
    <row r="191" spans="1:3">
      <c r="A191" s="23" t="s"/>
      <c r="B191" s="23" t="s"/>
      <c r="C191" s="25" t="s">
        <v>813</v>
      </c>
    </row>
    <row r="192" spans="1:7">
      <c r="A192" s="23" t="s"/>
      <c r="B192" s="23" t="s"/>
      <c r="C192" s="25" t="s"/>
      <c r="G192" s="27" t="s"/>
    </row>
    <row r="193" spans="1:3">
      <c r="A193" s="23" t="s"/>
      <c r="B193" s="23" t="s"/>
      <c r="C193" s="25" t="s"/>
    </row>
    <row r="194" spans="1:3">
      <c r="A194" s="23" t="s"/>
      <c r="B194" s="23" t="s"/>
      <c r="C194" s="25" t="s"/>
    </row>
    <row r="195" spans="1:3">
      <c r="A195" s="23" t="s"/>
      <c r="B195" s="23" t="s"/>
      <c r="C195" s="25" t="s"/>
    </row>
    <row r="196" spans="1:3">
      <c r="A196" s="23" t="s"/>
      <c r="B196" s="23" t="s"/>
      <c r="C196" s="25" t="s"/>
    </row>
    <row r="197" spans="1:3">
      <c r="A197" s="23" t="s"/>
      <c r="B197" s="23" t="s"/>
      <c r="C197" s="25" t="s">
        <v>814</v>
      </c>
    </row>
    <row r="198" spans="1:3">
      <c r="A198" s="23" t="s"/>
      <c r="B198" s="23" t="s"/>
      <c r="C198" s="25" t="s">
        <v>815</v>
      </c>
    </row>
    <row r="204" spans="1:1">
      <c r="A204" s="23" t="s"/>
    </row>
    <row r="205" spans="1:1">
      <c r="A205" s="23" t="s">
        <v>816</v>
      </c>
    </row>
    <row r="209" spans="1:1">
      <c r="A209" s="23" t="s">
        <v>817</v>
      </c>
    </row>
    <row r="210" spans="1:1">
      <c r="A210" s="23" t="s">
        <v>818</v>
      </c>
    </row>
    <row r="211" spans="1:1">
      <c r="A211" s="23" t="s">
        <v>819</v>
      </c>
    </row>
    <row r="212" spans="1:1">
      <c r="A212" s="23" t="s">
        <v>820</v>
      </c>
    </row>
    <row r="217" spans="1:1">
      <c r="A217" s="23" t="s">
        <v>821</v>
      </c>
    </row>
    <row r="218" spans="1:1">
      <c r="A218" s="23" t="s">
        <v>822</v>
      </c>
    </row>
    <row r="220" spans="1:1">
      <c r="A220" s="23" t="s">
        <v>823</v>
      </c>
    </row>
    <row r="223" spans="1:1">
      <c r="A223" s="23" t="s">
        <v>824</v>
      </c>
    </row>
    <row r="224" spans="1:1">
      <c r="A224" s="23" t="s">
        <v>825</v>
      </c>
    </row>
    <row r="226" spans="1:1">
      <c r="A226" s="23" t="s">
        <v>826</v>
      </c>
    </row>
    <row r="228" spans="1:1">
      <c r="A228" s="23" t="s">
        <v>827</v>
      </c>
    </row>
    <row r="230" spans="1:1">
      <c r="A230" s="23" t="s">
        <v>828</v>
      </c>
    </row>
    <row r="235" spans="1:1">
      <c r="A235" s="23" t="s">
        <v>829</v>
      </c>
    </row>
    <row r="236" spans="1:1">
      <c r="A236" s="23" t="s">
        <v>830</v>
      </c>
    </row>
    <row r="237" spans="1:1">
      <c r="A237" s="23" t="s">
        <v>831</v>
      </c>
    </row>
    <row r="238" spans="1:1">
      <c r="A238" s="23" t="s">
        <v>832</v>
      </c>
    </row>
    <row r="240" spans="1:1">
      <c r="A240" s="23" t="s">
        <v>833</v>
      </c>
    </row>
    <row r="241" spans="1:1">
      <c r="A241" s="23" t="s">
        <v>834</v>
      </c>
    </row>
    <row r="242" spans="2:5">
      <c r="B242" s="25">
        <f>=10000*30</f>
        <v>300000</v>
      </c>
      <c r="C242" s="89">
        <v>0.03</v>
      </c>
      <c r="D242" s="25">
        <f>=C242*B242</f>
        <v>9000</v>
      </c>
      <c r="E242" s="87">
        <f>=D242*15</f>
        <v>135000</v>
      </c>
    </row>
  </sheetData>
  <mergeCells count="13">
    <mergeCell ref="H103:I103"/>
    <mergeCell ref="G104:H104"/>
    <mergeCell ref="D119:D126"/>
    <mergeCell ref="F119:F121"/>
    <mergeCell ref="G119:G120"/>
    <mergeCell ref="D127:D128"/>
    <mergeCell ref="F127:F128"/>
    <mergeCell ref="D129:D130"/>
    <mergeCell ref="F129:F130"/>
    <mergeCell ref="G129:G130"/>
    <mergeCell ref="D131:D135"/>
    <mergeCell ref="F131:F135"/>
    <mergeCell ref="E180:E183"/>
  </mergeCells>
</worksheet>
</file>

<file path=xl/worksheets/sheet3.xml><?xml version="1.0" encoding="utf-8"?>
<worksheet xmlns="http://schemas.openxmlformats.org/spreadsheetml/2006/main">
  <sheetPr codeName="广东">
    <tabColor/>
  </sheetPr>
  <dimension ref="J167"/>
  <sheetViews>
    <sheetView showGridLines="true" workbookViewId="0"/>
  </sheetViews>
  <sheetFormatPr baseColWidth="13" defaultRowHeight="18" customHeight="true"/>
  <cols>
    <col min="1" max="1" width="5.71094" customWidth="true"/>
    <col min="2" max="2" width="7.71094" customWidth="true"/>
    <col min="3" max="3" width="10.7109" customWidth="true"/>
    <col min="4" max="4" width="12.7109" customWidth="true"/>
    <col min="5" max="5" width="10.7109" customWidth="true"/>
    <col min="6" max="6" width="33.7109" customWidth="true"/>
    <col min="7" max="7" width="42.7109" customWidth="true"/>
    <col min="8" max="8" width="10.7109" customWidth="true"/>
    <col min="9" max="9" width="37.7109" customWidth="true"/>
    <col min="10" max="10" width="16.7109" customWidth="true"/>
  </cols>
  <sheetData>
    <row r="1" spans="1:10">
      <c r="A1" s="9" t="s">
        <v>59</v>
      </c>
      <c r="B1" s="10" t="s">
        <v>60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</row>
    <row r="2" spans="1:10">
      <c r="A2" s="11">
        <v>1</v>
      </c>
      <c r="B2" s="12" t="s">
        <v>69</v>
      </c>
      <c r="C2" s="12" t="s">
        <v>70</v>
      </c>
      <c r="D2" s="12" t="s">
        <v>71</v>
      </c>
      <c r="E2" s="13" t="s">
        <v>72</v>
      </c>
      <c r="F2" s="13" t="s">
        <v>73</v>
      </c>
      <c r="G2" s="14" t="s">
        <v>74</v>
      </c>
      <c r="H2" s="13" t="s">
        <v>75</v>
      </c>
      <c r="I2" s="13" t="s">
        <v>76</v>
      </c>
      <c r="J2" s="15" t="s">
        <v>77</v>
      </c>
    </row>
    <row r="3" spans="1:10">
      <c r="A3" s="11">
        <v>2</v>
      </c>
      <c r="B3" s="12" t="s">
        <v>69</v>
      </c>
      <c r="C3" s="12" t="s">
        <v>70</v>
      </c>
      <c r="D3" s="12" t="s">
        <v>78</v>
      </c>
      <c r="E3" s="13" t="s">
        <v>72</v>
      </c>
      <c r="F3" s="13" t="s">
        <v>79</v>
      </c>
      <c r="G3" s="14" t="s">
        <v>80</v>
      </c>
      <c r="H3" s="13" t="s">
        <v>75</v>
      </c>
      <c r="I3" s="13" t="s">
        <v>81</v>
      </c>
      <c r="J3" s="15" t="s">
        <v>77</v>
      </c>
    </row>
    <row r="4" spans="1:10">
      <c r="A4" s="11">
        <v>3</v>
      </c>
      <c r="B4" s="12" t="s">
        <v>69</v>
      </c>
      <c r="C4" s="12" t="s">
        <v>70</v>
      </c>
      <c r="D4" s="12" t="s">
        <v>78</v>
      </c>
      <c r="E4" s="13" t="s">
        <v>72</v>
      </c>
      <c r="F4" s="13" t="s">
        <v>82</v>
      </c>
      <c r="G4" s="14" t="s">
        <v>83</v>
      </c>
      <c r="H4" s="13" t="s">
        <v>75</v>
      </c>
      <c r="I4" s="13" t="s">
        <v>84</v>
      </c>
      <c r="J4" s="15" t="s">
        <v>85</v>
      </c>
    </row>
    <row r="5" spans="1:10">
      <c r="A5" s="11">
        <v>4</v>
      </c>
      <c r="B5" s="12" t="s">
        <v>69</v>
      </c>
      <c r="C5" s="12" t="s">
        <v>86</v>
      </c>
      <c r="D5" s="12" t="s">
        <v>87</v>
      </c>
      <c r="E5" s="13" t="s">
        <v>72</v>
      </c>
      <c r="F5" s="13" t="s">
        <v>88</v>
      </c>
      <c r="G5" s="14" t="s">
        <v>89</v>
      </c>
      <c r="H5" s="13" t="s">
        <v>75</v>
      </c>
      <c r="I5" s="13" t="s">
        <v>90</v>
      </c>
      <c r="J5" s="15" t="s">
        <v>85</v>
      </c>
    </row>
    <row r="6" spans="1:10">
      <c r="A6" s="11">
        <v>5</v>
      </c>
      <c r="B6" s="12" t="s">
        <v>69</v>
      </c>
      <c r="C6" s="12" t="s">
        <v>86</v>
      </c>
      <c r="D6" s="12" t="s">
        <v>87</v>
      </c>
      <c r="E6" s="13" t="s">
        <v>72</v>
      </c>
      <c r="F6" s="13" t="s">
        <v>91</v>
      </c>
      <c r="G6" s="14" t="s">
        <v>92</v>
      </c>
      <c r="H6" s="13" t="s">
        <v>75</v>
      </c>
      <c r="I6" s="13" t="s">
        <v>93</v>
      </c>
      <c r="J6" s="15" t="s">
        <v>77</v>
      </c>
    </row>
    <row r="7" spans="1:10">
      <c r="A7" s="11">
        <v>6</v>
      </c>
      <c r="B7" s="12" t="s">
        <v>69</v>
      </c>
      <c r="C7" s="12" t="s">
        <v>94</v>
      </c>
      <c r="D7" s="12" t="s">
        <v>95</v>
      </c>
      <c r="E7" s="16" t="s">
        <v>96</v>
      </c>
      <c r="F7" s="13" t="s">
        <v>97</v>
      </c>
      <c r="G7" s="14" t="s">
        <v>98</v>
      </c>
      <c r="H7" s="13" t="s">
        <v>75</v>
      </c>
      <c r="I7" s="13" t="s">
        <v>99</v>
      </c>
      <c r="J7" s="15" t="s">
        <v>85</v>
      </c>
    </row>
    <row r="8" spans="1:10">
      <c r="A8" s="11">
        <v>7</v>
      </c>
      <c r="B8" s="12" t="s">
        <v>69</v>
      </c>
      <c r="C8" s="12" t="s">
        <v>70</v>
      </c>
      <c r="D8" s="12" t="s">
        <v>71</v>
      </c>
      <c r="E8" s="16" t="s">
        <v>96</v>
      </c>
      <c r="F8" s="13" t="s">
        <v>100</v>
      </c>
      <c r="G8" s="14" t="s">
        <v>101</v>
      </c>
      <c r="H8" s="13" t="s">
        <v>75</v>
      </c>
      <c r="I8" s="13" t="s">
        <v>102</v>
      </c>
      <c r="J8" s="15" t="s">
        <v>85</v>
      </c>
    </row>
    <row r="9" spans="1:10">
      <c r="A9" s="11">
        <v>8</v>
      </c>
      <c r="B9" s="12" t="s">
        <v>69</v>
      </c>
      <c r="C9" s="12" t="s">
        <v>70</v>
      </c>
      <c r="D9" s="12" t="s">
        <v>103</v>
      </c>
      <c r="E9" s="16" t="s">
        <v>96</v>
      </c>
      <c r="F9" s="13" t="s">
        <v>104</v>
      </c>
      <c r="G9" s="14" t="s">
        <v>105</v>
      </c>
      <c r="H9" s="13" t="s">
        <v>75</v>
      </c>
      <c r="I9" s="13" t="s">
        <v>106</v>
      </c>
      <c r="J9" s="15" t="s">
        <v>85</v>
      </c>
    </row>
    <row r="10" spans="1:10">
      <c r="A10" s="11">
        <v>9</v>
      </c>
      <c r="B10" s="12" t="s">
        <v>69</v>
      </c>
      <c r="C10" s="12" t="s">
        <v>86</v>
      </c>
      <c r="D10" s="12" t="s">
        <v>87</v>
      </c>
      <c r="E10" s="16" t="s">
        <v>96</v>
      </c>
      <c r="F10" s="13" t="s">
        <v>107</v>
      </c>
      <c r="G10" s="14" t="s">
        <v>108</v>
      </c>
      <c r="H10" s="13" t="s">
        <v>75</v>
      </c>
      <c r="I10" s="13" t="s">
        <v>109</v>
      </c>
      <c r="J10" s="15" t="s">
        <v>85</v>
      </c>
    </row>
    <row r="11" spans="1:10">
      <c r="A11" s="11">
        <v>10</v>
      </c>
      <c r="B11" s="12" t="s">
        <v>69</v>
      </c>
      <c r="C11" s="12" t="s">
        <v>70</v>
      </c>
      <c r="D11" s="12" t="s">
        <v>78</v>
      </c>
      <c r="E11" s="13" t="s">
        <v>72</v>
      </c>
      <c r="F11" s="13" t="s">
        <v>110</v>
      </c>
      <c r="G11" s="14" t="s">
        <v>111</v>
      </c>
      <c r="H11" s="13" t="s">
        <v>112</v>
      </c>
      <c r="I11" s="13" t="s">
        <v>113</v>
      </c>
      <c r="J11" s="15" t="s">
        <v>85</v>
      </c>
    </row>
    <row r="12" spans="1:10">
      <c r="A12" s="11">
        <v>11</v>
      </c>
      <c r="B12" s="12" t="s">
        <v>69</v>
      </c>
      <c r="C12" s="12" t="s">
        <v>70</v>
      </c>
      <c r="D12" s="12" t="s">
        <v>78</v>
      </c>
      <c r="E12" s="13" t="s">
        <v>72</v>
      </c>
      <c r="F12" s="13" t="s">
        <v>114</v>
      </c>
      <c r="G12" s="14" t="s">
        <v>115</v>
      </c>
      <c r="H12" s="13" t="s">
        <v>112</v>
      </c>
      <c r="I12" s="13" t="s">
        <v>116</v>
      </c>
      <c r="J12" s="15" t="s">
        <v>85</v>
      </c>
    </row>
    <row r="13" spans="1:10">
      <c r="A13" s="11">
        <v>12</v>
      </c>
      <c r="B13" s="12" t="s">
        <v>69</v>
      </c>
      <c r="C13" s="12" t="s">
        <v>117</v>
      </c>
      <c r="D13" s="12" t="s">
        <v>118</v>
      </c>
      <c r="E13" s="13" t="s">
        <v>72</v>
      </c>
      <c r="F13" s="13" t="s">
        <v>119</v>
      </c>
      <c r="G13" s="14" t="s">
        <v>120</v>
      </c>
      <c r="H13" s="13" t="s">
        <v>112</v>
      </c>
      <c r="I13" s="13" t="s">
        <v>121</v>
      </c>
      <c r="J13" s="15" t="s">
        <v>85</v>
      </c>
    </row>
    <row r="14" spans="1:10">
      <c r="A14" s="11">
        <v>13</v>
      </c>
      <c r="B14" s="12" t="s">
        <v>69</v>
      </c>
      <c r="C14" s="12" t="s">
        <v>86</v>
      </c>
      <c r="D14" s="12" t="s">
        <v>122</v>
      </c>
      <c r="E14" s="13" t="s">
        <v>72</v>
      </c>
      <c r="F14" s="13" t="s">
        <v>123</v>
      </c>
      <c r="G14" s="14" t="s">
        <v>124</v>
      </c>
      <c r="H14" s="13" t="s">
        <v>112</v>
      </c>
      <c r="I14" s="13" t="s">
        <v>125</v>
      </c>
      <c r="J14" s="15" t="s">
        <v>85</v>
      </c>
    </row>
    <row r="15" spans="1:10">
      <c r="A15" s="11">
        <v>14</v>
      </c>
      <c r="B15" s="12" t="s">
        <v>69</v>
      </c>
      <c r="C15" s="12" t="s">
        <v>126</v>
      </c>
      <c r="D15" s="12" t="s">
        <v>127</v>
      </c>
      <c r="E15" s="13" t="s">
        <v>72</v>
      </c>
      <c r="F15" s="13" t="s">
        <v>128</v>
      </c>
      <c r="G15" s="14" t="s">
        <v>129</v>
      </c>
      <c r="H15" s="13" t="s">
        <v>112</v>
      </c>
      <c r="I15" s="13" t="s">
        <v>125</v>
      </c>
      <c r="J15" s="15" t="s">
        <v>85</v>
      </c>
    </row>
    <row r="16" spans="1:10">
      <c r="A16" s="11">
        <v>15</v>
      </c>
      <c r="B16" s="12" t="s">
        <v>69</v>
      </c>
      <c r="C16" s="12" t="s">
        <v>126</v>
      </c>
      <c r="D16" s="12" t="s">
        <v>127</v>
      </c>
      <c r="E16" s="13" t="s">
        <v>72</v>
      </c>
      <c r="F16" s="13" t="s">
        <v>130</v>
      </c>
      <c r="G16" s="14" t="s">
        <v>131</v>
      </c>
      <c r="H16" s="13" t="s">
        <v>112</v>
      </c>
      <c r="I16" s="13" t="s">
        <v>132</v>
      </c>
      <c r="J16" s="15" t="s">
        <v>85</v>
      </c>
    </row>
    <row r="17" spans="1:10">
      <c r="A17" s="11">
        <v>16</v>
      </c>
      <c r="B17" s="12" t="s">
        <v>69</v>
      </c>
      <c r="C17" s="12" t="s">
        <v>133</v>
      </c>
      <c r="D17" s="12" t="s">
        <v>134</v>
      </c>
      <c r="E17" s="16" t="s">
        <v>96</v>
      </c>
      <c r="F17" s="13" t="s">
        <v>135</v>
      </c>
      <c r="G17" s="14" t="s">
        <v>136</v>
      </c>
      <c r="H17" s="13" t="s">
        <v>112</v>
      </c>
      <c r="I17" s="13" t="s">
        <v>137</v>
      </c>
      <c r="J17" s="15" t="s">
        <v>138</v>
      </c>
    </row>
    <row r="18" spans="1:10">
      <c r="A18" s="11">
        <v>17</v>
      </c>
      <c r="B18" s="12" t="s">
        <v>69</v>
      </c>
      <c r="C18" s="12" t="s">
        <v>133</v>
      </c>
      <c r="D18" s="12" t="s">
        <v>134</v>
      </c>
      <c r="E18" s="16" t="s">
        <v>96</v>
      </c>
      <c r="F18" s="13" t="s">
        <v>139</v>
      </c>
      <c r="G18" s="14" t="s">
        <v>140</v>
      </c>
      <c r="H18" s="13" t="s">
        <v>112</v>
      </c>
      <c r="I18" s="13" t="s">
        <v>141</v>
      </c>
      <c r="J18" s="15" t="s">
        <v>142</v>
      </c>
    </row>
    <row r="19" spans="1:10">
      <c r="A19" s="11">
        <v>18</v>
      </c>
      <c r="B19" s="12" t="s">
        <v>69</v>
      </c>
      <c r="C19" s="12" t="s">
        <v>70</v>
      </c>
      <c r="D19" s="12" t="s">
        <v>78</v>
      </c>
      <c r="E19" s="16" t="s">
        <v>96</v>
      </c>
      <c r="F19" s="13" t="s">
        <v>143</v>
      </c>
      <c r="G19" s="14" t="s">
        <v>144</v>
      </c>
      <c r="H19" s="13" t="s">
        <v>112</v>
      </c>
      <c r="I19" s="13" t="s">
        <v>145</v>
      </c>
      <c r="J19" s="15" t="s">
        <v>142</v>
      </c>
    </row>
    <row r="20" spans="1:10">
      <c r="A20" s="11">
        <v>19</v>
      </c>
      <c r="B20" s="12" t="s">
        <v>69</v>
      </c>
      <c r="C20" s="12" t="s">
        <v>70</v>
      </c>
      <c r="D20" s="12" t="s">
        <v>146</v>
      </c>
      <c r="E20" s="16" t="s">
        <v>96</v>
      </c>
      <c r="F20" s="13" t="s">
        <v>147</v>
      </c>
      <c r="G20" s="14" t="s">
        <v>148</v>
      </c>
      <c r="H20" s="13" t="s">
        <v>112</v>
      </c>
      <c r="I20" s="13" t="s">
        <v>149</v>
      </c>
      <c r="J20" s="15" t="s">
        <v>85</v>
      </c>
    </row>
    <row r="21" spans="1:10">
      <c r="A21" s="11">
        <v>20</v>
      </c>
      <c r="B21" s="12" t="s">
        <v>69</v>
      </c>
      <c r="C21" s="12" t="s">
        <v>70</v>
      </c>
      <c r="D21" s="12" t="s">
        <v>71</v>
      </c>
      <c r="E21" s="16" t="s">
        <v>96</v>
      </c>
      <c r="F21" s="13" t="s">
        <v>150</v>
      </c>
      <c r="G21" s="14" t="s">
        <v>151</v>
      </c>
      <c r="H21" s="13" t="s">
        <v>112</v>
      </c>
      <c r="I21" s="13" t="s">
        <v>152</v>
      </c>
      <c r="J21" s="15" t="s">
        <v>138</v>
      </c>
    </row>
    <row r="22" spans="1:10">
      <c r="A22" s="11">
        <v>21</v>
      </c>
      <c r="B22" s="12" t="s">
        <v>69</v>
      </c>
      <c r="C22" s="12" t="s">
        <v>70</v>
      </c>
      <c r="D22" s="12" t="s">
        <v>71</v>
      </c>
      <c r="E22" s="16" t="s">
        <v>96</v>
      </c>
      <c r="F22" s="13" t="s">
        <v>153</v>
      </c>
      <c r="G22" s="14" t="s">
        <v>154</v>
      </c>
      <c r="H22" s="13" t="s">
        <v>112</v>
      </c>
      <c r="I22" s="13" t="s">
        <v>155</v>
      </c>
      <c r="J22" s="15" t="s">
        <v>85</v>
      </c>
    </row>
    <row r="23" spans="1:10">
      <c r="A23" s="11">
        <v>22</v>
      </c>
      <c r="B23" s="12" t="s">
        <v>69</v>
      </c>
      <c r="C23" s="12" t="s">
        <v>70</v>
      </c>
      <c r="D23" s="12" t="s">
        <v>146</v>
      </c>
      <c r="E23" s="16" t="s">
        <v>96</v>
      </c>
      <c r="F23" s="13" t="s">
        <v>156</v>
      </c>
      <c r="G23" s="14" t="s">
        <v>157</v>
      </c>
      <c r="H23" s="13" t="s">
        <v>112</v>
      </c>
      <c r="I23" s="13" t="s">
        <v>158</v>
      </c>
      <c r="J23" s="15" t="s">
        <v>142</v>
      </c>
    </row>
    <row r="24" spans="1:10">
      <c r="A24" s="11">
        <v>23</v>
      </c>
      <c r="B24" s="12" t="s">
        <v>69</v>
      </c>
      <c r="C24" s="12" t="s">
        <v>70</v>
      </c>
      <c r="D24" s="12" t="s">
        <v>103</v>
      </c>
      <c r="E24" s="16" t="s">
        <v>96</v>
      </c>
      <c r="F24" s="13" t="s">
        <v>159</v>
      </c>
      <c r="G24" s="14" t="s">
        <v>160</v>
      </c>
      <c r="H24" s="13" t="s">
        <v>112</v>
      </c>
      <c r="I24" s="13" t="s">
        <v>161</v>
      </c>
      <c r="J24" s="15" t="s">
        <v>138</v>
      </c>
    </row>
    <row r="25" spans="1:10">
      <c r="A25" s="11">
        <v>24</v>
      </c>
      <c r="B25" s="12" t="s">
        <v>69</v>
      </c>
      <c r="C25" s="12" t="s">
        <v>70</v>
      </c>
      <c r="D25" s="12" t="s">
        <v>71</v>
      </c>
      <c r="E25" s="16" t="s">
        <v>96</v>
      </c>
      <c r="F25" s="13" t="s">
        <v>162</v>
      </c>
      <c r="G25" s="14" t="s">
        <v>163</v>
      </c>
      <c r="H25" s="13" t="s">
        <v>112</v>
      </c>
      <c r="I25" s="13" t="s">
        <v>164</v>
      </c>
      <c r="J25" s="15" t="s">
        <v>142</v>
      </c>
    </row>
    <row r="26" spans="1:10">
      <c r="A26" s="11">
        <v>25</v>
      </c>
      <c r="B26" s="12" t="s">
        <v>69</v>
      </c>
      <c r="C26" s="12" t="s">
        <v>70</v>
      </c>
      <c r="D26" s="12" t="s">
        <v>103</v>
      </c>
      <c r="E26" s="16" t="s">
        <v>96</v>
      </c>
      <c r="F26" s="13" t="s">
        <v>165</v>
      </c>
      <c r="G26" s="14" t="s">
        <v>166</v>
      </c>
      <c r="H26" s="13" t="s">
        <v>112</v>
      </c>
      <c r="I26" s="13" t="s">
        <v>167</v>
      </c>
      <c r="J26" s="15" t="s">
        <v>142</v>
      </c>
    </row>
    <row r="27" spans="1:10">
      <c r="A27" s="11">
        <v>26</v>
      </c>
      <c r="B27" s="12" t="s">
        <v>69</v>
      </c>
      <c r="C27" s="12" t="s">
        <v>168</v>
      </c>
      <c r="D27" s="12" t="s">
        <v>169</v>
      </c>
      <c r="E27" s="16" t="s">
        <v>96</v>
      </c>
      <c r="F27" s="13" t="s">
        <v>170</v>
      </c>
      <c r="G27" s="14" t="s">
        <v>171</v>
      </c>
      <c r="H27" s="13" t="s">
        <v>112</v>
      </c>
      <c r="I27" s="13" t="s">
        <v>172</v>
      </c>
      <c r="J27" s="15" t="s">
        <v>85</v>
      </c>
    </row>
    <row r="28" spans="1:10">
      <c r="A28" s="11">
        <v>27</v>
      </c>
      <c r="B28" s="12" t="s">
        <v>69</v>
      </c>
      <c r="C28" s="12" t="s">
        <v>168</v>
      </c>
      <c r="D28" s="12" t="s">
        <v>169</v>
      </c>
      <c r="E28" s="16" t="s">
        <v>96</v>
      </c>
      <c r="F28" s="13" t="s">
        <v>173</v>
      </c>
      <c r="G28" s="14" t="s">
        <v>174</v>
      </c>
      <c r="H28" s="13" t="s">
        <v>112</v>
      </c>
      <c r="I28" s="13" t="s">
        <v>175</v>
      </c>
      <c r="J28" s="15" t="s">
        <v>138</v>
      </c>
    </row>
    <row r="29" spans="1:10">
      <c r="A29" s="11">
        <v>28</v>
      </c>
      <c r="B29" s="12" t="s">
        <v>69</v>
      </c>
      <c r="C29" s="12" t="s">
        <v>176</v>
      </c>
      <c r="D29" s="12" t="s">
        <v>177</v>
      </c>
      <c r="E29" s="16" t="s">
        <v>96</v>
      </c>
      <c r="F29" s="13" t="s">
        <v>178</v>
      </c>
      <c r="G29" s="14" t="s">
        <v>179</v>
      </c>
      <c r="H29" s="13" t="s">
        <v>112</v>
      </c>
      <c r="I29" s="13" t="s">
        <v>137</v>
      </c>
      <c r="J29" s="15" t="s">
        <v>138</v>
      </c>
    </row>
    <row r="30" spans="1:10">
      <c r="A30" s="11">
        <v>29</v>
      </c>
      <c r="B30" s="12" t="s">
        <v>69</v>
      </c>
      <c r="C30" s="12" t="s">
        <v>180</v>
      </c>
      <c r="D30" s="12" t="s">
        <v>181</v>
      </c>
      <c r="E30" s="16" t="s">
        <v>96</v>
      </c>
      <c r="F30" s="13" t="s">
        <v>182</v>
      </c>
      <c r="G30" s="14" t="s">
        <v>183</v>
      </c>
      <c r="H30" s="13" t="s">
        <v>112</v>
      </c>
      <c r="I30" s="13" t="s">
        <v>184</v>
      </c>
      <c r="J30" s="15" t="s">
        <v>142</v>
      </c>
    </row>
    <row r="31" spans="1:10">
      <c r="A31" s="11">
        <v>30</v>
      </c>
      <c r="B31" s="12" t="s">
        <v>69</v>
      </c>
      <c r="C31" s="12" t="s">
        <v>185</v>
      </c>
      <c r="D31" s="12" t="s">
        <v>186</v>
      </c>
      <c r="E31" s="16" t="s">
        <v>96</v>
      </c>
      <c r="F31" s="13" t="s">
        <v>187</v>
      </c>
      <c r="G31" s="14" t="s">
        <v>188</v>
      </c>
      <c r="H31" s="13" t="s">
        <v>112</v>
      </c>
      <c r="I31" s="13" t="s">
        <v>189</v>
      </c>
      <c r="J31" s="15" t="s">
        <v>190</v>
      </c>
    </row>
    <row r="32" spans="1:10">
      <c r="A32" s="11">
        <v>31</v>
      </c>
      <c r="B32" s="12" t="s">
        <v>69</v>
      </c>
      <c r="C32" s="12" t="s">
        <v>191</v>
      </c>
      <c r="D32" s="12" t="s">
        <v>192</v>
      </c>
      <c r="E32" s="16" t="s">
        <v>96</v>
      </c>
      <c r="F32" s="13" t="s">
        <v>193</v>
      </c>
      <c r="G32" s="14" t="s">
        <v>194</v>
      </c>
      <c r="H32" s="13" t="s">
        <v>112</v>
      </c>
      <c r="I32" s="13" t="s">
        <v>195</v>
      </c>
      <c r="J32" s="15" t="s">
        <v>85</v>
      </c>
    </row>
    <row r="33" spans="1:10">
      <c r="A33" s="11">
        <v>32</v>
      </c>
      <c r="B33" s="12" t="s">
        <v>69</v>
      </c>
      <c r="C33" s="12" t="s">
        <v>196</v>
      </c>
      <c r="D33" s="12" t="s">
        <v>197</v>
      </c>
      <c r="E33" s="16" t="s">
        <v>96</v>
      </c>
      <c r="F33" s="13" t="s">
        <v>198</v>
      </c>
      <c r="G33" s="14" t="s">
        <v>199</v>
      </c>
      <c r="H33" s="13" t="s">
        <v>112</v>
      </c>
      <c r="I33" s="13" t="s">
        <v>200</v>
      </c>
      <c r="J33" s="15" t="s">
        <v>138</v>
      </c>
    </row>
    <row r="34" spans="1:10">
      <c r="A34" s="11">
        <v>33</v>
      </c>
      <c r="B34" s="12" t="s">
        <v>69</v>
      </c>
      <c r="C34" s="12" t="s">
        <v>86</v>
      </c>
      <c r="D34" s="12" t="s">
        <v>122</v>
      </c>
      <c r="E34" s="16" t="s">
        <v>96</v>
      </c>
      <c r="F34" s="13" t="s">
        <v>201</v>
      </c>
      <c r="G34" s="14" t="s">
        <v>202</v>
      </c>
      <c r="H34" s="13" t="s">
        <v>112</v>
      </c>
      <c r="I34" s="13" t="s">
        <v>125</v>
      </c>
      <c r="J34" s="15" t="s">
        <v>85</v>
      </c>
    </row>
    <row r="35" spans="1:10">
      <c r="A35" s="11">
        <v>34</v>
      </c>
      <c r="B35" s="12" t="s">
        <v>69</v>
      </c>
      <c r="C35" s="12" t="s">
        <v>86</v>
      </c>
      <c r="D35" s="12" t="s">
        <v>122</v>
      </c>
      <c r="E35" s="16" t="s">
        <v>96</v>
      </c>
      <c r="F35" s="13" t="s">
        <v>203</v>
      </c>
      <c r="G35" s="14" t="s">
        <v>204</v>
      </c>
      <c r="H35" s="13" t="s">
        <v>112</v>
      </c>
      <c r="I35" s="13" t="s">
        <v>205</v>
      </c>
      <c r="J35" s="15" t="s">
        <v>190</v>
      </c>
    </row>
    <row r="36" spans="1:10">
      <c r="A36" s="11">
        <v>35</v>
      </c>
      <c r="B36" s="12" t="s">
        <v>69</v>
      </c>
      <c r="C36" s="12" t="s">
        <v>206</v>
      </c>
      <c r="D36" s="12" t="s">
        <v>207</v>
      </c>
      <c r="E36" s="16" t="s">
        <v>96</v>
      </c>
      <c r="F36" s="13" t="s">
        <v>208</v>
      </c>
      <c r="G36" s="14" t="s">
        <v>209</v>
      </c>
      <c r="H36" s="13" t="s">
        <v>112</v>
      </c>
      <c r="I36" s="13" t="s">
        <v>152</v>
      </c>
      <c r="J36" s="15" t="s">
        <v>142</v>
      </c>
    </row>
    <row r="37" spans="1:10">
      <c r="A37" s="11">
        <v>36</v>
      </c>
      <c r="B37" s="12" t="s">
        <v>69</v>
      </c>
      <c r="C37" s="12" t="s">
        <v>206</v>
      </c>
      <c r="D37" s="12" t="s">
        <v>207</v>
      </c>
      <c r="E37" s="16" t="s">
        <v>96</v>
      </c>
      <c r="F37" s="13" t="s">
        <v>210</v>
      </c>
      <c r="G37" s="14" t="s">
        <v>211</v>
      </c>
      <c r="H37" s="13" t="s">
        <v>112</v>
      </c>
      <c r="I37" s="13" t="s">
        <v>172</v>
      </c>
      <c r="J37" s="15" t="s">
        <v>85</v>
      </c>
    </row>
    <row r="38" spans="1:10">
      <c r="A38" s="11">
        <v>37</v>
      </c>
      <c r="B38" s="12" t="s">
        <v>69</v>
      </c>
      <c r="C38" s="12" t="s">
        <v>212</v>
      </c>
      <c r="D38" s="12" t="s">
        <v>213</v>
      </c>
      <c r="E38" s="16" t="s">
        <v>96</v>
      </c>
      <c r="F38" s="13" t="s">
        <v>214</v>
      </c>
      <c r="G38" s="14" t="s">
        <v>215</v>
      </c>
      <c r="H38" s="13" t="s">
        <v>112</v>
      </c>
      <c r="I38" s="13" t="s">
        <v>216</v>
      </c>
      <c r="J38" s="15" t="s">
        <v>142</v>
      </c>
    </row>
    <row r="39" spans="1:10">
      <c r="A39" s="11">
        <v>38</v>
      </c>
      <c r="B39" s="12" t="s">
        <v>69</v>
      </c>
      <c r="C39" s="12" t="s">
        <v>126</v>
      </c>
      <c r="D39" s="12" t="s">
        <v>127</v>
      </c>
      <c r="E39" s="16" t="s">
        <v>96</v>
      </c>
      <c r="F39" s="13" t="s">
        <v>217</v>
      </c>
      <c r="G39" s="14" t="s">
        <v>218</v>
      </c>
      <c r="H39" s="13" t="s">
        <v>112</v>
      </c>
      <c r="I39" s="13" t="s">
        <v>125</v>
      </c>
      <c r="J39" s="15" t="s">
        <v>85</v>
      </c>
    </row>
    <row r="40" spans="1:10">
      <c r="A40" s="11">
        <v>39</v>
      </c>
      <c r="B40" s="12" t="s">
        <v>69</v>
      </c>
      <c r="C40" s="12" t="s">
        <v>126</v>
      </c>
      <c r="D40" s="12" t="s">
        <v>127</v>
      </c>
      <c r="E40" s="16" t="s">
        <v>96</v>
      </c>
      <c r="F40" s="13" t="s">
        <v>219</v>
      </c>
      <c r="G40" s="14" t="s">
        <v>220</v>
      </c>
      <c r="H40" s="13" t="s">
        <v>112</v>
      </c>
      <c r="I40" s="13" t="s">
        <v>221</v>
      </c>
      <c r="J40" s="15" t="s">
        <v>142</v>
      </c>
    </row>
    <row r="41" spans="1:10">
      <c r="A41" s="11">
        <v>40</v>
      </c>
      <c r="B41" s="12" t="s">
        <v>69</v>
      </c>
      <c r="C41" s="12" t="s">
        <v>126</v>
      </c>
      <c r="D41" s="12" t="s">
        <v>127</v>
      </c>
      <c r="E41" s="16" t="s">
        <v>96</v>
      </c>
      <c r="F41" s="13" t="s">
        <v>222</v>
      </c>
      <c r="G41" s="14" t="s">
        <v>223</v>
      </c>
      <c r="H41" s="13" t="s">
        <v>112</v>
      </c>
      <c r="I41" s="13" t="s">
        <v>200</v>
      </c>
      <c r="J41" s="15" t="s">
        <v>142</v>
      </c>
    </row>
    <row r="42" spans="1:10">
      <c r="A42" s="11">
        <v>41</v>
      </c>
      <c r="B42" s="12" t="s">
        <v>69</v>
      </c>
      <c r="C42" s="12" t="s">
        <v>126</v>
      </c>
      <c r="D42" s="12" t="s">
        <v>127</v>
      </c>
      <c r="E42" s="16" t="s">
        <v>96</v>
      </c>
      <c r="F42" s="13" t="s">
        <v>224</v>
      </c>
      <c r="G42" s="14" t="s">
        <v>225</v>
      </c>
      <c r="H42" s="13" t="s">
        <v>112</v>
      </c>
      <c r="I42" s="13" t="s">
        <v>226</v>
      </c>
      <c r="J42" s="15" t="s">
        <v>142</v>
      </c>
    </row>
    <row r="43" spans="1:10">
      <c r="A43" s="11">
        <v>42</v>
      </c>
      <c r="B43" s="12" t="s">
        <v>69</v>
      </c>
      <c r="C43" s="12" t="s">
        <v>126</v>
      </c>
      <c r="D43" s="12" t="s">
        <v>127</v>
      </c>
      <c r="E43" s="16" t="s">
        <v>96</v>
      </c>
      <c r="F43" s="13" t="s">
        <v>227</v>
      </c>
      <c r="G43" s="14" t="s">
        <v>228</v>
      </c>
      <c r="H43" s="13" t="s">
        <v>112</v>
      </c>
      <c r="I43" s="13" t="s">
        <v>229</v>
      </c>
      <c r="J43" s="15" t="s">
        <v>142</v>
      </c>
    </row>
    <row r="44" spans="1:10">
      <c r="A44" s="11">
        <v>43</v>
      </c>
      <c r="B44" s="12" t="s">
        <v>69</v>
      </c>
      <c r="C44" s="12" t="s">
        <v>230</v>
      </c>
      <c r="D44" s="12" t="s">
        <v>231</v>
      </c>
      <c r="E44" s="16" t="s">
        <v>96</v>
      </c>
      <c r="F44" s="13" t="s">
        <v>232</v>
      </c>
      <c r="G44" s="14" t="s">
        <v>233</v>
      </c>
      <c r="H44" s="13" t="s">
        <v>112</v>
      </c>
      <c r="I44" s="13" t="s">
        <v>195</v>
      </c>
      <c r="J44" s="15" t="s">
        <v>142</v>
      </c>
    </row>
    <row r="45" spans="1:10">
      <c r="A45" s="11">
        <v>44</v>
      </c>
      <c r="B45" s="12" t="s">
        <v>69</v>
      </c>
      <c r="C45" s="12" t="s">
        <v>234</v>
      </c>
      <c r="D45" s="12" t="s">
        <v>235</v>
      </c>
      <c r="E45" s="16" t="s">
        <v>96</v>
      </c>
      <c r="F45" s="13" t="s">
        <v>236</v>
      </c>
      <c r="G45" s="14" t="s">
        <v>237</v>
      </c>
      <c r="H45" s="13" t="s">
        <v>112</v>
      </c>
      <c r="I45" s="13" t="s">
        <v>238</v>
      </c>
      <c r="J45" s="15" t="s">
        <v>85</v>
      </c>
    </row>
    <row r="46" spans="1:10">
      <c r="A46" s="11">
        <v>45</v>
      </c>
      <c r="B46" s="12" t="s">
        <v>69</v>
      </c>
      <c r="C46" s="12" t="s">
        <v>239</v>
      </c>
      <c r="D46" s="12" t="s">
        <v>240</v>
      </c>
      <c r="E46" s="16" t="s">
        <v>96</v>
      </c>
      <c r="F46" s="13" t="s">
        <v>241</v>
      </c>
      <c r="G46" s="14" t="s">
        <v>242</v>
      </c>
      <c r="H46" s="13" t="s">
        <v>112</v>
      </c>
      <c r="I46" s="13" t="s">
        <v>243</v>
      </c>
      <c r="J46" s="15" t="s">
        <v>142</v>
      </c>
    </row>
    <row r="47" spans="1:10">
      <c r="A47" s="11">
        <v>46</v>
      </c>
      <c r="B47" s="12" t="s">
        <v>69</v>
      </c>
      <c r="C47" s="12" t="s">
        <v>94</v>
      </c>
      <c r="D47" s="12" t="s">
        <v>244</v>
      </c>
      <c r="E47" s="17" t="s">
        <v>245</v>
      </c>
      <c r="F47" s="13" t="s">
        <v>246</v>
      </c>
      <c r="G47" s="12" t="s">
        <v>247</v>
      </c>
      <c r="H47" s="13" t="s">
        <v>248</v>
      </c>
      <c r="I47" s="13" t="s">
        <v>249</v>
      </c>
      <c r="J47" s="15" t="s">
        <v>142</v>
      </c>
    </row>
    <row r="48" spans="1:10">
      <c r="A48" s="11">
        <v>47</v>
      </c>
      <c r="B48" s="12" t="s">
        <v>69</v>
      </c>
      <c r="C48" s="12" t="s">
        <v>94</v>
      </c>
      <c r="D48" s="12" t="s">
        <v>244</v>
      </c>
      <c r="E48" s="17" t="s">
        <v>245</v>
      </c>
      <c r="F48" s="13" t="s">
        <v>250</v>
      </c>
      <c r="G48" s="12" t="s">
        <v>251</v>
      </c>
      <c r="H48" s="13" t="s">
        <v>248</v>
      </c>
      <c r="I48" s="13" t="s">
        <v>252</v>
      </c>
      <c r="J48" s="15" t="s">
        <v>142</v>
      </c>
    </row>
    <row r="49" spans="1:10">
      <c r="A49" s="11">
        <v>48</v>
      </c>
      <c r="B49" s="12" t="s">
        <v>69</v>
      </c>
      <c r="C49" s="12" t="s">
        <v>70</v>
      </c>
      <c r="D49" s="12" t="s">
        <v>253</v>
      </c>
      <c r="E49" s="17" t="s">
        <v>245</v>
      </c>
      <c r="F49" s="13" t="s">
        <v>254</v>
      </c>
      <c r="G49" s="12" t="s">
        <v>255</v>
      </c>
      <c r="H49" s="13" t="s">
        <v>248</v>
      </c>
      <c r="I49" s="13" t="s">
        <v>256</v>
      </c>
      <c r="J49" s="15" t="s">
        <v>142</v>
      </c>
    </row>
    <row r="50" spans="1:10">
      <c r="A50" s="11">
        <v>49</v>
      </c>
      <c r="B50" s="12" t="s">
        <v>69</v>
      </c>
      <c r="C50" s="12" t="s">
        <v>70</v>
      </c>
      <c r="D50" s="12" t="s">
        <v>257</v>
      </c>
      <c r="E50" s="17" t="s">
        <v>245</v>
      </c>
      <c r="F50" s="13" t="s">
        <v>258</v>
      </c>
      <c r="G50" s="12" t="s">
        <v>255</v>
      </c>
      <c r="H50" s="13" t="s">
        <v>248</v>
      </c>
      <c r="I50" s="13" t="s">
        <v>252</v>
      </c>
      <c r="J50" s="15" t="s">
        <v>142</v>
      </c>
    </row>
    <row r="51" spans="1:10">
      <c r="A51" s="11">
        <v>50</v>
      </c>
      <c r="B51" s="12" t="s">
        <v>69</v>
      </c>
      <c r="C51" s="12" t="s">
        <v>70</v>
      </c>
      <c r="D51" s="12" t="s">
        <v>146</v>
      </c>
      <c r="E51" s="17" t="s">
        <v>245</v>
      </c>
      <c r="F51" s="13" t="s">
        <v>259</v>
      </c>
      <c r="G51" s="12" t="s">
        <v>260</v>
      </c>
      <c r="H51" s="13" t="s">
        <v>248</v>
      </c>
      <c r="I51" s="13" t="s">
        <v>261</v>
      </c>
      <c r="J51" s="15" t="s">
        <v>142</v>
      </c>
    </row>
    <row r="52" spans="1:10">
      <c r="A52" s="11">
        <v>51</v>
      </c>
      <c r="B52" s="12" t="s">
        <v>69</v>
      </c>
      <c r="C52" s="12" t="s">
        <v>70</v>
      </c>
      <c r="D52" s="12" t="s">
        <v>253</v>
      </c>
      <c r="E52" s="17" t="s">
        <v>245</v>
      </c>
      <c r="F52" s="13" t="s">
        <v>262</v>
      </c>
      <c r="G52" s="12" t="s">
        <v>255</v>
      </c>
      <c r="H52" s="13" t="s">
        <v>248</v>
      </c>
      <c r="I52" s="13" t="s">
        <v>263</v>
      </c>
      <c r="J52" s="15" t="s">
        <v>142</v>
      </c>
    </row>
    <row r="53" spans="1:10">
      <c r="A53" s="11">
        <v>52</v>
      </c>
      <c r="B53" s="12" t="s">
        <v>69</v>
      </c>
      <c r="C53" s="12" t="s">
        <v>70</v>
      </c>
      <c r="D53" s="12" t="s">
        <v>78</v>
      </c>
      <c r="E53" s="17" t="s">
        <v>245</v>
      </c>
      <c r="F53" s="13" t="s">
        <v>264</v>
      </c>
      <c r="G53" s="12" t="s">
        <v>265</v>
      </c>
      <c r="H53" s="13" t="s">
        <v>248</v>
      </c>
      <c r="I53" s="13" t="s">
        <v>266</v>
      </c>
      <c r="J53" s="15" t="s">
        <v>138</v>
      </c>
    </row>
    <row r="54" spans="1:10">
      <c r="A54" s="11">
        <v>53</v>
      </c>
      <c r="B54" s="12" t="s">
        <v>69</v>
      </c>
      <c r="C54" s="12" t="s">
        <v>70</v>
      </c>
      <c r="D54" s="12" t="s">
        <v>103</v>
      </c>
      <c r="E54" s="17" t="s">
        <v>245</v>
      </c>
      <c r="F54" s="13" t="s">
        <v>267</v>
      </c>
      <c r="G54" s="12" t="s">
        <v>268</v>
      </c>
      <c r="H54" s="13" t="s">
        <v>248</v>
      </c>
      <c r="I54" s="13" t="s">
        <v>252</v>
      </c>
      <c r="J54" s="15" t="s">
        <v>142</v>
      </c>
    </row>
    <row r="55" spans="1:10">
      <c r="A55" s="11">
        <v>54</v>
      </c>
      <c r="B55" s="12" t="s">
        <v>69</v>
      </c>
      <c r="C55" s="12" t="s">
        <v>70</v>
      </c>
      <c r="D55" s="12" t="s">
        <v>257</v>
      </c>
      <c r="E55" s="17" t="s">
        <v>245</v>
      </c>
      <c r="F55" s="13" t="s">
        <v>269</v>
      </c>
      <c r="G55" s="12" t="s">
        <v>270</v>
      </c>
      <c r="H55" s="13" t="s">
        <v>248</v>
      </c>
      <c r="I55" s="13" t="s">
        <v>249</v>
      </c>
      <c r="J55" s="15" t="s">
        <v>142</v>
      </c>
    </row>
    <row r="56" spans="1:10">
      <c r="A56" s="11">
        <v>55</v>
      </c>
      <c r="B56" s="12" t="s">
        <v>69</v>
      </c>
      <c r="C56" s="12" t="s">
        <v>191</v>
      </c>
      <c r="D56" s="12" t="s">
        <v>271</v>
      </c>
      <c r="E56" s="17" t="s">
        <v>245</v>
      </c>
      <c r="F56" s="13" t="s">
        <v>272</v>
      </c>
      <c r="G56" s="12" t="s">
        <v>273</v>
      </c>
      <c r="H56" s="13" t="s">
        <v>248</v>
      </c>
      <c r="I56" s="13" t="s">
        <v>274</v>
      </c>
      <c r="J56" s="15" t="s">
        <v>138</v>
      </c>
    </row>
    <row r="57" spans="1:10">
      <c r="A57" s="11">
        <v>56</v>
      </c>
      <c r="B57" s="12" t="s">
        <v>69</v>
      </c>
      <c r="C57" s="12" t="s">
        <v>86</v>
      </c>
      <c r="D57" s="12" t="s">
        <v>122</v>
      </c>
      <c r="E57" s="17" t="s">
        <v>245</v>
      </c>
      <c r="F57" s="13" t="s">
        <v>275</v>
      </c>
      <c r="G57" s="12" t="s">
        <v>276</v>
      </c>
      <c r="H57" s="13" t="s">
        <v>248</v>
      </c>
      <c r="I57" s="13" t="s">
        <v>277</v>
      </c>
      <c r="J57" s="15" t="s">
        <v>142</v>
      </c>
    </row>
    <row r="58" spans="1:10">
      <c r="A58" s="11">
        <v>57</v>
      </c>
      <c r="B58" s="12" t="s">
        <v>69</v>
      </c>
      <c r="C58" s="12" t="s">
        <v>94</v>
      </c>
      <c r="D58" s="12" t="s">
        <v>278</v>
      </c>
      <c r="E58" s="18" t="s">
        <v>279</v>
      </c>
      <c r="F58" s="13" t="s">
        <v>280</v>
      </c>
      <c r="G58" s="12" t="s">
        <v>255</v>
      </c>
      <c r="H58" s="13" t="s">
        <v>248</v>
      </c>
      <c r="I58" s="13" t="s">
        <v>200</v>
      </c>
      <c r="J58" s="15" t="s">
        <v>142</v>
      </c>
    </row>
    <row r="59" spans="1:10">
      <c r="A59" s="11">
        <v>58</v>
      </c>
      <c r="B59" s="12" t="s">
        <v>69</v>
      </c>
      <c r="C59" s="12" t="s">
        <v>94</v>
      </c>
      <c r="D59" s="12" t="s">
        <v>281</v>
      </c>
      <c r="E59" s="18" t="s">
        <v>279</v>
      </c>
      <c r="F59" s="13" t="s">
        <v>282</v>
      </c>
      <c r="G59" s="12" t="s">
        <v>283</v>
      </c>
      <c r="H59" s="13" t="s">
        <v>248</v>
      </c>
      <c r="I59" s="13" t="s">
        <v>284</v>
      </c>
      <c r="J59" s="15" t="s">
        <v>138</v>
      </c>
    </row>
    <row r="60" spans="1:10">
      <c r="A60" s="11">
        <v>59</v>
      </c>
      <c r="B60" s="12" t="s">
        <v>69</v>
      </c>
      <c r="C60" s="12" t="s">
        <v>94</v>
      </c>
      <c r="D60" s="12" t="s">
        <v>285</v>
      </c>
      <c r="E60" s="18" t="s">
        <v>279</v>
      </c>
      <c r="F60" s="13" t="s">
        <v>286</v>
      </c>
      <c r="G60" s="12" t="s">
        <v>287</v>
      </c>
      <c r="H60" s="13" t="s">
        <v>248</v>
      </c>
      <c r="I60" s="13" t="s">
        <v>284</v>
      </c>
      <c r="J60" s="15" t="s">
        <v>138</v>
      </c>
    </row>
    <row r="61" spans="1:10">
      <c r="A61" s="11">
        <v>60</v>
      </c>
      <c r="B61" s="12" t="s">
        <v>69</v>
      </c>
      <c r="C61" s="12" t="s">
        <v>133</v>
      </c>
      <c r="D61" s="12" t="s">
        <v>288</v>
      </c>
      <c r="E61" s="18" t="s">
        <v>279</v>
      </c>
      <c r="F61" s="13" t="s">
        <v>289</v>
      </c>
      <c r="G61" s="12" t="s">
        <v>290</v>
      </c>
      <c r="H61" s="13" t="s">
        <v>248</v>
      </c>
      <c r="I61" s="13" t="s">
        <v>200</v>
      </c>
      <c r="J61" s="15" t="s">
        <v>138</v>
      </c>
    </row>
    <row r="62" spans="1:10">
      <c r="A62" s="11">
        <v>61</v>
      </c>
      <c r="B62" s="12" t="s">
        <v>69</v>
      </c>
      <c r="C62" s="12" t="s">
        <v>133</v>
      </c>
      <c r="D62" s="12" t="s">
        <v>291</v>
      </c>
      <c r="E62" s="18" t="s">
        <v>279</v>
      </c>
      <c r="F62" s="13" t="s">
        <v>292</v>
      </c>
      <c r="G62" s="12" t="s">
        <v>293</v>
      </c>
      <c r="H62" s="13" t="s">
        <v>248</v>
      </c>
      <c r="I62" s="13" t="s">
        <v>294</v>
      </c>
      <c r="J62" s="15" t="s">
        <v>138</v>
      </c>
    </row>
    <row r="63" spans="1:10">
      <c r="A63" s="11">
        <v>62</v>
      </c>
      <c r="B63" s="12" t="s">
        <v>69</v>
      </c>
      <c r="C63" s="12" t="s">
        <v>133</v>
      </c>
      <c r="D63" s="12" t="s">
        <v>295</v>
      </c>
      <c r="E63" s="18" t="s">
        <v>279</v>
      </c>
      <c r="F63" s="13" t="s">
        <v>296</v>
      </c>
      <c r="G63" s="12" t="s">
        <v>297</v>
      </c>
      <c r="H63" s="13" t="s">
        <v>248</v>
      </c>
      <c r="I63" s="13" t="s">
        <v>298</v>
      </c>
      <c r="J63" s="15" t="s">
        <v>138</v>
      </c>
    </row>
    <row r="64" spans="1:10">
      <c r="A64" s="11">
        <v>63</v>
      </c>
      <c r="B64" s="12" t="s">
        <v>69</v>
      </c>
      <c r="C64" s="12" t="s">
        <v>299</v>
      </c>
      <c r="D64" s="12" t="s">
        <v>300</v>
      </c>
      <c r="E64" s="18" t="s">
        <v>279</v>
      </c>
      <c r="F64" s="13" t="s">
        <v>301</v>
      </c>
      <c r="G64" s="12" t="s">
        <v>302</v>
      </c>
      <c r="H64" s="13" t="s">
        <v>248</v>
      </c>
      <c r="I64" s="13" t="s">
        <v>137</v>
      </c>
      <c r="J64" s="15" t="s">
        <v>138</v>
      </c>
    </row>
    <row r="65" spans="1:10">
      <c r="A65" s="11">
        <v>64</v>
      </c>
      <c r="B65" s="12" t="s">
        <v>69</v>
      </c>
      <c r="C65" s="12" t="s">
        <v>303</v>
      </c>
      <c r="D65" s="12" t="s">
        <v>304</v>
      </c>
      <c r="E65" s="18" t="s">
        <v>279</v>
      </c>
      <c r="F65" s="13" t="s">
        <v>272</v>
      </c>
      <c r="G65" s="12" t="s">
        <v>273</v>
      </c>
      <c r="H65" s="13" t="s">
        <v>248</v>
      </c>
      <c r="I65" s="13" t="s">
        <v>284</v>
      </c>
      <c r="J65" s="15" t="s">
        <v>138</v>
      </c>
    </row>
    <row r="66" spans="1:10">
      <c r="A66" s="11">
        <v>65</v>
      </c>
      <c r="B66" s="12" t="s">
        <v>69</v>
      </c>
      <c r="C66" s="12" t="s">
        <v>303</v>
      </c>
      <c r="D66" s="12" t="s">
        <v>304</v>
      </c>
      <c r="E66" s="18" t="s">
        <v>279</v>
      </c>
      <c r="F66" s="13" t="s">
        <v>305</v>
      </c>
      <c r="G66" s="12" t="s">
        <v>306</v>
      </c>
      <c r="H66" s="13" t="s">
        <v>248</v>
      </c>
      <c r="I66" s="13" t="s">
        <v>307</v>
      </c>
      <c r="J66" s="15" t="s">
        <v>138</v>
      </c>
    </row>
    <row r="67" spans="1:10">
      <c r="A67" s="11">
        <v>66</v>
      </c>
      <c r="B67" s="12" t="s">
        <v>69</v>
      </c>
      <c r="C67" s="12" t="s">
        <v>303</v>
      </c>
      <c r="D67" s="12" t="s">
        <v>308</v>
      </c>
      <c r="E67" s="18" t="s">
        <v>279</v>
      </c>
      <c r="F67" s="13" t="s">
        <v>309</v>
      </c>
      <c r="G67" s="12" t="s">
        <v>310</v>
      </c>
      <c r="H67" s="13" t="s">
        <v>248</v>
      </c>
      <c r="I67" s="13" t="s">
        <v>311</v>
      </c>
      <c r="J67" s="15" t="s">
        <v>142</v>
      </c>
    </row>
    <row r="68" spans="1:10">
      <c r="A68" s="11">
        <v>67</v>
      </c>
      <c r="B68" s="12" t="s">
        <v>69</v>
      </c>
      <c r="C68" s="12" t="s">
        <v>70</v>
      </c>
      <c r="D68" s="12" t="s">
        <v>71</v>
      </c>
      <c r="E68" s="18" t="s">
        <v>279</v>
      </c>
      <c r="F68" s="13" t="s">
        <v>312</v>
      </c>
      <c r="G68" s="12" t="s">
        <v>313</v>
      </c>
      <c r="H68" s="13" t="s">
        <v>248</v>
      </c>
      <c r="I68" s="13" t="s">
        <v>314</v>
      </c>
      <c r="J68" s="15" t="s">
        <v>142</v>
      </c>
    </row>
    <row r="69" spans="1:10">
      <c r="A69" s="11">
        <v>68</v>
      </c>
      <c r="B69" s="12" t="s">
        <v>69</v>
      </c>
      <c r="C69" s="12" t="s">
        <v>70</v>
      </c>
      <c r="D69" s="12" t="s">
        <v>146</v>
      </c>
      <c r="E69" s="18" t="s">
        <v>279</v>
      </c>
      <c r="F69" s="13" t="s">
        <v>315</v>
      </c>
      <c r="G69" s="12" t="s">
        <v>316</v>
      </c>
      <c r="H69" s="13" t="s">
        <v>248</v>
      </c>
      <c r="I69" s="13" t="s">
        <v>317</v>
      </c>
      <c r="J69" s="15" t="s">
        <v>138</v>
      </c>
    </row>
    <row r="70" spans="1:10">
      <c r="A70" s="11">
        <v>69</v>
      </c>
      <c r="B70" s="12" t="s">
        <v>69</v>
      </c>
      <c r="C70" s="12" t="s">
        <v>70</v>
      </c>
      <c r="D70" s="12" t="s">
        <v>146</v>
      </c>
      <c r="E70" s="18" t="s">
        <v>279</v>
      </c>
      <c r="F70" s="13" t="s">
        <v>318</v>
      </c>
      <c r="G70" s="12" t="s">
        <v>319</v>
      </c>
      <c r="H70" s="13" t="s">
        <v>248</v>
      </c>
      <c r="I70" s="13" t="s">
        <v>200</v>
      </c>
      <c r="J70" s="15" t="s">
        <v>138</v>
      </c>
    </row>
    <row r="71" spans="1:10">
      <c r="A71" s="11">
        <v>70</v>
      </c>
      <c r="B71" s="12" t="s">
        <v>69</v>
      </c>
      <c r="C71" s="12" t="s">
        <v>70</v>
      </c>
      <c r="D71" s="12" t="s">
        <v>78</v>
      </c>
      <c r="E71" s="18" t="s">
        <v>279</v>
      </c>
      <c r="F71" s="13" t="s">
        <v>320</v>
      </c>
      <c r="G71" s="12" t="s">
        <v>321</v>
      </c>
      <c r="H71" s="13" t="s">
        <v>248</v>
      </c>
      <c r="I71" s="13" t="s">
        <v>200</v>
      </c>
      <c r="J71" s="15" t="s">
        <v>138</v>
      </c>
    </row>
    <row r="72" spans="1:10">
      <c r="A72" s="11">
        <v>71</v>
      </c>
      <c r="B72" s="12" t="s">
        <v>69</v>
      </c>
      <c r="C72" s="12" t="s">
        <v>70</v>
      </c>
      <c r="D72" s="12" t="s">
        <v>322</v>
      </c>
      <c r="E72" s="18" t="s">
        <v>279</v>
      </c>
      <c r="F72" s="13" t="s">
        <v>323</v>
      </c>
      <c r="G72" s="12" t="s">
        <v>324</v>
      </c>
      <c r="H72" s="13" t="s">
        <v>248</v>
      </c>
      <c r="I72" s="13" t="s">
        <v>284</v>
      </c>
      <c r="J72" s="15" t="s">
        <v>138</v>
      </c>
    </row>
    <row r="73" spans="1:10">
      <c r="A73" s="11">
        <v>72</v>
      </c>
      <c r="B73" s="12" t="s">
        <v>69</v>
      </c>
      <c r="C73" s="12" t="s">
        <v>70</v>
      </c>
      <c r="D73" s="12" t="s">
        <v>103</v>
      </c>
      <c r="E73" s="18" t="s">
        <v>279</v>
      </c>
      <c r="F73" s="13" t="s">
        <v>325</v>
      </c>
      <c r="G73" s="12" t="s">
        <v>326</v>
      </c>
      <c r="H73" s="13" t="s">
        <v>248</v>
      </c>
      <c r="I73" s="13" t="s">
        <v>327</v>
      </c>
      <c r="J73" s="15" t="s">
        <v>138</v>
      </c>
    </row>
    <row r="74" spans="1:10">
      <c r="A74" s="11">
        <v>73</v>
      </c>
      <c r="B74" s="12" t="s">
        <v>69</v>
      </c>
      <c r="C74" s="12" t="s">
        <v>70</v>
      </c>
      <c r="D74" s="12" t="s">
        <v>78</v>
      </c>
      <c r="E74" s="18" t="s">
        <v>279</v>
      </c>
      <c r="F74" s="13" t="s">
        <v>328</v>
      </c>
      <c r="G74" s="12" t="s">
        <v>329</v>
      </c>
      <c r="H74" s="13" t="s">
        <v>248</v>
      </c>
      <c r="I74" s="13" t="s">
        <v>330</v>
      </c>
      <c r="J74" s="15" t="s">
        <v>142</v>
      </c>
    </row>
    <row r="75" spans="1:10">
      <c r="A75" s="11">
        <v>74</v>
      </c>
      <c r="B75" s="12" t="s">
        <v>69</v>
      </c>
      <c r="C75" s="12" t="s">
        <v>70</v>
      </c>
      <c r="D75" s="12" t="s">
        <v>78</v>
      </c>
      <c r="E75" s="18" t="s">
        <v>279</v>
      </c>
      <c r="F75" s="13" t="s">
        <v>331</v>
      </c>
      <c r="G75" s="12" t="s">
        <v>332</v>
      </c>
      <c r="H75" s="13" t="s">
        <v>248</v>
      </c>
      <c r="I75" s="13" t="s">
        <v>333</v>
      </c>
      <c r="J75" s="15" t="s">
        <v>142</v>
      </c>
    </row>
    <row r="76" spans="1:10">
      <c r="A76" s="11">
        <v>75</v>
      </c>
      <c r="B76" s="12" t="s">
        <v>69</v>
      </c>
      <c r="C76" s="12" t="s">
        <v>70</v>
      </c>
      <c r="D76" s="12" t="s">
        <v>146</v>
      </c>
      <c r="E76" s="18" t="s">
        <v>279</v>
      </c>
      <c r="F76" s="13" t="s">
        <v>334</v>
      </c>
      <c r="G76" s="12" t="s">
        <v>335</v>
      </c>
      <c r="H76" s="13" t="s">
        <v>248</v>
      </c>
      <c r="I76" s="13" t="s">
        <v>336</v>
      </c>
      <c r="J76" s="15" t="s">
        <v>337</v>
      </c>
    </row>
    <row r="77" spans="1:10">
      <c r="A77" s="11">
        <v>76</v>
      </c>
      <c r="B77" s="12" t="s">
        <v>69</v>
      </c>
      <c r="C77" s="12" t="s">
        <v>70</v>
      </c>
      <c r="D77" s="12" t="s">
        <v>146</v>
      </c>
      <c r="E77" s="18" t="s">
        <v>279</v>
      </c>
      <c r="F77" s="13" t="s">
        <v>338</v>
      </c>
      <c r="G77" s="12" t="s">
        <v>339</v>
      </c>
      <c r="H77" s="13" t="s">
        <v>248</v>
      </c>
      <c r="I77" s="13" t="s">
        <v>340</v>
      </c>
      <c r="J77" s="15" t="s">
        <v>142</v>
      </c>
    </row>
    <row r="78" spans="1:10">
      <c r="A78" s="11">
        <v>77</v>
      </c>
      <c r="B78" s="12" t="s">
        <v>69</v>
      </c>
      <c r="C78" s="12" t="s">
        <v>70</v>
      </c>
      <c r="D78" s="12" t="s">
        <v>103</v>
      </c>
      <c r="E78" s="18" t="s">
        <v>279</v>
      </c>
      <c r="F78" s="13" t="s">
        <v>341</v>
      </c>
      <c r="G78" s="12" t="s">
        <v>342</v>
      </c>
      <c r="H78" s="13" t="s">
        <v>248</v>
      </c>
      <c r="I78" s="13" t="s">
        <v>137</v>
      </c>
      <c r="J78" s="15" t="s">
        <v>138</v>
      </c>
    </row>
    <row r="79" spans="1:10">
      <c r="A79" s="11">
        <v>78</v>
      </c>
      <c r="B79" s="12" t="s">
        <v>69</v>
      </c>
      <c r="C79" s="12" t="s">
        <v>70</v>
      </c>
      <c r="D79" s="12" t="s">
        <v>146</v>
      </c>
      <c r="E79" s="18" t="s">
        <v>279</v>
      </c>
      <c r="F79" s="13" t="s">
        <v>343</v>
      </c>
      <c r="G79" s="12" t="s">
        <v>344</v>
      </c>
      <c r="H79" s="13" t="s">
        <v>248</v>
      </c>
      <c r="I79" s="13" t="s">
        <v>200</v>
      </c>
      <c r="J79" s="15" t="s">
        <v>138</v>
      </c>
    </row>
    <row r="80" spans="1:10">
      <c r="A80" s="11">
        <v>79</v>
      </c>
      <c r="B80" s="12" t="s">
        <v>69</v>
      </c>
      <c r="C80" s="12" t="s">
        <v>70</v>
      </c>
      <c r="D80" s="12" t="s">
        <v>71</v>
      </c>
      <c r="E80" s="18" t="s">
        <v>279</v>
      </c>
      <c r="F80" s="13" t="s">
        <v>345</v>
      </c>
      <c r="G80" s="12" t="s">
        <v>346</v>
      </c>
      <c r="H80" s="13" t="s">
        <v>248</v>
      </c>
      <c r="I80" s="13" t="s">
        <v>200</v>
      </c>
      <c r="J80" s="15" t="s">
        <v>138</v>
      </c>
    </row>
    <row r="81" spans="1:10">
      <c r="A81" s="11">
        <v>80</v>
      </c>
      <c r="B81" s="12" t="s">
        <v>69</v>
      </c>
      <c r="C81" s="12" t="s">
        <v>70</v>
      </c>
      <c r="D81" s="12" t="s">
        <v>146</v>
      </c>
      <c r="E81" s="18" t="s">
        <v>279</v>
      </c>
      <c r="F81" s="13" t="s">
        <v>347</v>
      </c>
      <c r="G81" s="12" t="s">
        <v>348</v>
      </c>
      <c r="H81" s="13" t="s">
        <v>248</v>
      </c>
      <c r="I81" s="13" t="s">
        <v>349</v>
      </c>
      <c r="J81" s="15" t="s">
        <v>142</v>
      </c>
    </row>
    <row r="82" spans="1:10">
      <c r="A82" s="11">
        <v>81</v>
      </c>
      <c r="B82" s="12" t="s">
        <v>69</v>
      </c>
      <c r="C82" s="12" t="s">
        <v>70</v>
      </c>
      <c r="D82" s="12" t="s">
        <v>257</v>
      </c>
      <c r="E82" s="18" t="s">
        <v>279</v>
      </c>
      <c r="F82" s="13" t="s">
        <v>350</v>
      </c>
      <c r="G82" s="12" t="s">
        <v>351</v>
      </c>
      <c r="H82" s="13" t="s">
        <v>248</v>
      </c>
      <c r="I82" s="13" t="s">
        <v>307</v>
      </c>
      <c r="J82" s="15" t="s">
        <v>138</v>
      </c>
    </row>
    <row r="83" spans="1:10">
      <c r="A83" s="11">
        <v>82</v>
      </c>
      <c r="B83" s="12" t="s">
        <v>69</v>
      </c>
      <c r="C83" s="12" t="s">
        <v>70</v>
      </c>
      <c r="D83" s="12" t="s">
        <v>322</v>
      </c>
      <c r="E83" s="18" t="s">
        <v>279</v>
      </c>
      <c r="F83" s="13" t="s">
        <v>352</v>
      </c>
      <c r="G83" s="12" t="s">
        <v>353</v>
      </c>
      <c r="H83" s="13" t="s">
        <v>248</v>
      </c>
      <c r="I83" s="13" t="s">
        <v>354</v>
      </c>
      <c r="J83" s="15" t="s">
        <v>142</v>
      </c>
    </row>
    <row r="84" spans="1:10">
      <c r="A84" s="11">
        <v>83</v>
      </c>
      <c r="B84" s="12" t="s">
        <v>69</v>
      </c>
      <c r="C84" s="12" t="s">
        <v>70</v>
      </c>
      <c r="D84" s="12" t="s">
        <v>146</v>
      </c>
      <c r="E84" s="18" t="s">
        <v>279</v>
      </c>
      <c r="F84" s="13" t="s">
        <v>355</v>
      </c>
      <c r="G84" s="12" t="s">
        <v>356</v>
      </c>
      <c r="H84" s="13" t="s">
        <v>248</v>
      </c>
      <c r="I84" s="13" t="s">
        <v>200</v>
      </c>
      <c r="J84" s="15" t="s">
        <v>138</v>
      </c>
    </row>
    <row r="85" spans="1:10">
      <c r="A85" s="11">
        <v>84</v>
      </c>
      <c r="B85" s="12" t="s">
        <v>69</v>
      </c>
      <c r="C85" s="12" t="s">
        <v>70</v>
      </c>
      <c r="D85" s="12" t="s">
        <v>78</v>
      </c>
      <c r="E85" s="18" t="s">
        <v>279</v>
      </c>
      <c r="F85" s="13" t="s">
        <v>357</v>
      </c>
      <c r="G85" s="12" t="s">
        <v>358</v>
      </c>
      <c r="H85" s="13" t="s">
        <v>248</v>
      </c>
      <c r="I85" s="13" t="s">
        <v>359</v>
      </c>
      <c r="J85" s="15" t="s">
        <v>142</v>
      </c>
    </row>
    <row r="86" spans="1:10">
      <c r="A86" s="11">
        <v>85</v>
      </c>
      <c r="B86" s="12" t="s">
        <v>69</v>
      </c>
      <c r="C86" s="12" t="s">
        <v>168</v>
      </c>
      <c r="D86" s="12" t="s">
        <v>360</v>
      </c>
      <c r="E86" s="18" t="s">
        <v>279</v>
      </c>
      <c r="F86" s="13" t="s">
        <v>361</v>
      </c>
      <c r="G86" s="12" t="s">
        <v>362</v>
      </c>
      <c r="H86" s="13" t="s">
        <v>248</v>
      </c>
      <c r="I86" s="13" t="s">
        <v>363</v>
      </c>
      <c r="J86" s="15" t="s">
        <v>138</v>
      </c>
    </row>
    <row r="87" spans="1:10">
      <c r="A87" s="11">
        <v>86</v>
      </c>
      <c r="B87" s="12" t="s">
        <v>69</v>
      </c>
      <c r="C87" s="12" t="s">
        <v>180</v>
      </c>
      <c r="D87" s="12" t="s">
        <v>364</v>
      </c>
      <c r="E87" s="18" t="s">
        <v>279</v>
      </c>
      <c r="F87" s="13" t="s">
        <v>365</v>
      </c>
      <c r="G87" s="12" t="s">
        <v>366</v>
      </c>
      <c r="H87" s="13" t="s">
        <v>248</v>
      </c>
      <c r="I87" s="13" t="s">
        <v>137</v>
      </c>
      <c r="J87" s="15" t="s">
        <v>138</v>
      </c>
    </row>
    <row r="88" spans="1:10">
      <c r="A88" s="11">
        <v>87</v>
      </c>
      <c r="B88" s="12" t="s">
        <v>69</v>
      </c>
      <c r="C88" s="12" t="s">
        <v>117</v>
      </c>
      <c r="D88" s="12" t="s">
        <v>118</v>
      </c>
      <c r="E88" s="18" t="s">
        <v>279</v>
      </c>
      <c r="F88" s="13" t="s">
        <v>367</v>
      </c>
      <c r="G88" s="12" t="s">
        <v>368</v>
      </c>
      <c r="H88" s="13" t="s">
        <v>248</v>
      </c>
      <c r="I88" s="13" t="s">
        <v>363</v>
      </c>
      <c r="J88" s="15" t="s">
        <v>138</v>
      </c>
    </row>
    <row r="89" spans="1:10">
      <c r="A89" s="11">
        <v>88</v>
      </c>
      <c r="B89" s="12" t="s">
        <v>69</v>
      </c>
      <c r="C89" s="12" t="s">
        <v>185</v>
      </c>
      <c r="D89" s="12" t="s">
        <v>369</v>
      </c>
      <c r="E89" s="18" t="s">
        <v>279</v>
      </c>
      <c r="F89" s="13" t="s">
        <v>370</v>
      </c>
      <c r="G89" s="12" t="s">
        <v>371</v>
      </c>
      <c r="H89" s="13" t="s">
        <v>248</v>
      </c>
      <c r="I89" s="13" t="s">
        <v>137</v>
      </c>
      <c r="J89" s="15" t="s">
        <v>138</v>
      </c>
    </row>
    <row r="90" spans="1:10">
      <c r="A90" s="11">
        <v>89</v>
      </c>
      <c r="B90" s="12" t="s">
        <v>69</v>
      </c>
      <c r="C90" s="12" t="s">
        <v>191</v>
      </c>
      <c r="D90" s="12" t="s">
        <v>372</v>
      </c>
      <c r="E90" s="18" t="s">
        <v>279</v>
      </c>
      <c r="F90" s="13" t="s">
        <v>373</v>
      </c>
      <c r="G90" s="12" t="s">
        <v>374</v>
      </c>
      <c r="H90" s="13" t="s">
        <v>248</v>
      </c>
      <c r="I90" s="13" t="s">
        <v>137</v>
      </c>
      <c r="J90" s="15" t="s">
        <v>138</v>
      </c>
    </row>
    <row r="91" spans="1:10">
      <c r="A91" s="11">
        <v>90</v>
      </c>
      <c r="B91" s="12" t="s">
        <v>69</v>
      </c>
      <c r="C91" s="12" t="s">
        <v>86</v>
      </c>
      <c r="D91" s="12" t="s">
        <v>87</v>
      </c>
      <c r="E91" s="18" t="s">
        <v>279</v>
      </c>
      <c r="F91" s="13" t="s">
        <v>375</v>
      </c>
      <c r="G91" s="12" t="s">
        <v>376</v>
      </c>
      <c r="H91" s="13" t="s">
        <v>248</v>
      </c>
      <c r="I91" s="13" t="s">
        <v>377</v>
      </c>
      <c r="J91" s="15" t="s">
        <v>142</v>
      </c>
    </row>
    <row r="92" spans="1:10">
      <c r="A92" s="11">
        <v>91</v>
      </c>
      <c r="B92" s="12" t="s">
        <v>69</v>
      </c>
      <c r="C92" s="12" t="s">
        <v>86</v>
      </c>
      <c r="D92" s="12" t="s">
        <v>378</v>
      </c>
      <c r="E92" s="18" t="s">
        <v>279</v>
      </c>
      <c r="F92" s="13" t="s">
        <v>379</v>
      </c>
      <c r="G92" s="12" t="s">
        <v>380</v>
      </c>
      <c r="H92" s="13" t="s">
        <v>248</v>
      </c>
      <c r="I92" s="13" t="s">
        <v>381</v>
      </c>
      <c r="J92" s="15" t="s">
        <v>142</v>
      </c>
    </row>
    <row r="93" spans="1:10">
      <c r="A93" s="11">
        <v>92</v>
      </c>
      <c r="B93" s="12" t="s">
        <v>69</v>
      </c>
      <c r="C93" s="12" t="s">
        <v>86</v>
      </c>
      <c r="D93" s="12" t="s">
        <v>122</v>
      </c>
      <c r="E93" s="18" t="s">
        <v>279</v>
      </c>
      <c r="F93" s="13" t="s">
        <v>382</v>
      </c>
      <c r="G93" s="12" t="s">
        <v>383</v>
      </c>
      <c r="H93" s="13" t="s">
        <v>248</v>
      </c>
      <c r="I93" s="13" t="s">
        <v>137</v>
      </c>
      <c r="J93" s="15" t="s">
        <v>138</v>
      </c>
    </row>
    <row r="94" spans="1:10">
      <c r="A94" s="11">
        <v>93</v>
      </c>
      <c r="B94" s="12" t="s">
        <v>69</v>
      </c>
      <c r="C94" s="12" t="s">
        <v>384</v>
      </c>
      <c r="D94" s="12" t="s">
        <v>385</v>
      </c>
      <c r="E94" s="18" t="s">
        <v>279</v>
      </c>
      <c r="F94" s="13" t="s">
        <v>386</v>
      </c>
      <c r="G94" s="12" t="s">
        <v>387</v>
      </c>
      <c r="H94" s="13" t="s">
        <v>248</v>
      </c>
      <c r="I94" s="13" t="s">
        <v>298</v>
      </c>
      <c r="J94" s="15" t="s">
        <v>138</v>
      </c>
    </row>
    <row r="95" spans="1:10">
      <c r="A95" s="11">
        <v>94</v>
      </c>
      <c r="B95" s="12" t="s">
        <v>69</v>
      </c>
      <c r="C95" s="12" t="s">
        <v>384</v>
      </c>
      <c r="D95" s="12" t="s">
        <v>385</v>
      </c>
      <c r="E95" s="18" t="s">
        <v>279</v>
      </c>
      <c r="F95" s="13" t="s">
        <v>388</v>
      </c>
      <c r="G95" s="12" t="s">
        <v>387</v>
      </c>
      <c r="H95" s="13" t="s">
        <v>248</v>
      </c>
      <c r="I95" s="13" t="s">
        <v>307</v>
      </c>
      <c r="J95" s="15" t="s">
        <v>138</v>
      </c>
    </row>
    <row r="96" spans="1:10">
      <c r="A96" s="11">
        <v>95</v>
      </c>
      <c r="B96" s="12" t="s">
        <v>69</v>
      </c>
      <c r="C96" s="12" t="s">
        <v>384</v>
      </c>
      <c r="D96" s="12" t="s">
        <v>385</v>
      </c>
      <c r="E96" s="18" t="s">
        <v>279</v>
      </c>
      <c r="F96" s="13" t="s">
        <v>389</v>
      </c>
      <c r="G96" s="12" t="s">
        <v>390</v>
      </c>
      <c r="H96" s="13" t="s">
        <v>248</v>
      </c>
      <c r="I96" s="13" t="s">
        <v>200</v>
      </c>
      <c r="J96" s="15" t="s">
        <v>138</v>
      </c>
    </row>
    <row r="97" spans="1:10">
      <c r="A97" s="11">
        <v>96</v>
      </c>
      <c r="B97" s="12" t="s">
        <v>69</v>
      </c>
      <c r="C97" s="12" t="s">
        <v>206</v>
      </c>
      <c r="D97" s="12" t="s">
        <v>207</v>
      </c>
      <c r="E97" s="18" t="s">
        <v>279</v>
      </c>
      <c r="F97" s="13" t="s">
        <v>391</v>
      </c>
      <c r="G97" s="12" t="s">
        <v>392</v>
      </c>
      <c r="H97" s="13" t="s">
        <v>248</v>
      </c>
      <c r="I97" s="13" t="s">
        <v>393</v>
      </c>
      <c r="J97" s="15" t="s">
        <v>138</v>
      </c>
    </row>
    <row r="98" spans="1:10">
      <c r="A98" s="11">
        <v>97</v>
      </c>
      <c r="B98" s="12" t="s">
        <v>69</v>
      </c>
      <c r="C98" s="12" t="s">
        <v>206</v>
      </c>
      <c r="D98" s="12" t="s">
        <v>394</v>
      </c>
      <c r="E98" s="18" t="s">
        <v>279</v>
      </c>
      <c r="F98" s="13" t="s">
        <v>395</v>
      </c>
      <c r="G98" s="12" t="s">
        <v>396</v>
      </c>
      <c r="H98" s="13" t="s">
        <v>248</v>
      </c>
      <c r="I98" s="13" t="s">
        <v>397</v>
      </c>
      <c r="J98" s="15" t="s">
        <v>142</v>
      </c>
    </row>
    <row r="99" spans="1:10">
      <c r="A99" s="11">
        <v>98</v>
      </c>
      <c r="B99" s="12" t="s">
        <v>69</v>
      </c>
      <c r="C99" s="12" t="s">
        <v>126</v>
      </c>
      <c r="D99" s="12" t="s">
        <v>127</v>
      </c>
      <c r="E99" s="18" t="s">
        <v>279</v>
      </c>
      <c r="F99" s="13" t="s">
        <v>398</v>
      </c>
      <c r="G99" s="12" t="s">
        <v>399</v>
      </c>
      <c r="H99" s="13" t="s">
        <v>248</v>
      </c>
      <c r="I99" s="13" t="s">
        <v>200</v>
      </c>
      <c r="J99" s="15" t="s">
        <v>138</v>
      </c>
    </row>
    <row r="100" spans="1:10">
      <c r="A100" s="11">
        <v>99</v>
      </c>
      <c r="B100" s="12" t="s">
        <v>69</v>
      </c>
      <c r="C100" s="12" t="s">
        <v>230</v>
      </c>
      <c r="D100" s="12" t="s">
        <v>400</v>
      </c>
      <c r="E100" s="18" t="s">
        <v>279</v>
      </c>
      <c r="F100" s="13" t="s">
        <v>401</v>
      </c>
      <c r="G100" s="12" t="s">
        <v>402</v>
      </c>
      <c r="H100" s="13" t="s">
        <v>248</v>
      </c>
      <c r="I100" s="13" t="s">
        <v>403</v>
      </c>
      <c r="J100" s="15" t="s">
        <v>142</v>
      </c>
    </row>
    <row r="101" spans="1:10">
      <c r="A101" s="11">
        <v>100</v>
      </c>
      <c r="B101" s="12" t="s">
        <v>69</v>
      </c>
      <c r="C101" s="12" t="s">
        <v>230</v>
      </c>
      <c r="D101" s="12" t="s">
        <v>404</v>
      </c>
      <c r="E101" s="18" t="s">
        <v>279</v>
      </c>
      <c r="F101" s="13" t="s">
        <v>405</v>
      </c>
      <c r="G101" s="12" t="s">
        <v>406</v>
      </c>
      <c r="H101" s="13" t="s">
        <v>248</v>
      </c>
      <c r="I101" s="13" t="s">
        <v>407</v>
      </c>
      <c r="J101" s="15" t="s">
        <v>142</v>
      </c>
    </row>
    <row r="102" spans="1:10">
      <c r="A102" s="11">
        <v>101</v>
      </c>
      <c r="B102" s="12" t="s">
        <v>69</v>
      </c>
      <c r="C102" s="12" t="s">
        <v>234</v>
      </c>
      <c r="D102" s="12" t="s">
        <v>408</v>
      </c>
      <c r="E102" s="18" t="s">
        <v>279</v>
      </c>
      <c r="F102" s="13" t="s">
        <v>409</v>
      </c>
      <c r="G102" s="12" t="s">
        <v>410</v>
      </c>
      <c r="H102" s="13" t="s">
        <v>248</v>
      </c>
      <c r="I102" s="13" t="s">
        <v>363</v>
      </c>
      <c r="J102" s="15" t="s">
        <v>138</v>
      </c>
    </row>
    <row r="103" spans="1:10">
      <c r="A103" s="11">
        <v>102</v>
      </c>
      <c r="B103" s="12" t="s">
        <v>69</v>
      </c>
      <c r="C103" s="12" t="s">
        <v>234</v>
      </c>
      <c r="D103" s="12" t="s">
        <v>235</v>
      </c>
      <c r="E103" s="18" t="s">
        <v>279</v>
      </c>
      <c r="F103" s="13" t="s">
        <v>411</v>
      </c>
      <c r="G103" s="12" t="s">
        <v>412</v>
      </c>
      <c r="H103" s="13" t="s">
        <v>248</v>
      </c>
      <c r="I103" s="13" t="s">
        <v>137</v>
      </c>
      <c r="J103" s="15" t="s">
        <v>138</v>
      </c>
    </row>
    <row r="104" spans="1:10">
      <c r="A104" s="11">
        <v>103</v>
      </c>
      <c r="B104" s="12" t="s">
        <v>69</v>
      </c>
      <c r="C104" s="12" t="s">
        <v>413</v>
      </c>
      <c r="D104" s="12" t="s">
        <v>414</v>
      </c>
      <c r="E104" s="18" t="s">
        <v>279</v>
      </c>
      <c r="F104" s="13" t="s">
        <v>415</v>
      </c>
      <c r="G104" s="12" t="s">
        <v>416</v>
      </c>
      <c r="H104" s="13" t="s">
        <v>248</v>
      </c>
      <c r="I104" s="13" t="s">
        <v>381</v>
      </c>
      <c r="J104" s="15" t="s">
        <v>138</v>
      </c>
    </row>
    <row r="105" spans="1:10">
      <c r="A105" s="11">
        <v>104</v>
      </c>
      <c r="B105" s="12" t="s">
        <v>69</v>
      </c>
      <c r="C105" s="12" t="s">
        <v>413</v>
      </c>
      <c r="D105" s="12" t="s">
        <v>414</v>
      </c>
      <c r="E105" s="18" t="s">
        <v>279</v>
      </c>
      <c r="F105" s="13" t="s">
        <v>417</v>
      </c>
      <c r="G105" s="12" t="s">
        <v>418</v>
      </c>
      <c r="H105" s="13" t="s">
        <v>248</v>
      </c>
      <c r="I105" s="13" t="s">
        <v>200</v>
      </c>
      <c r="J105" s="15" t="s">
        <v>138</v>
      </c>
    </row>
    <row r="106" spans="1:10">
      <c r="A106" s="11">
        <v>105</v>
      </c>
      <c r="B106" s="12" t="s">
        <v>69</v>
      </c>
      <c r="C106" s="12" t="s">
        <v>239</v>
      </c>
      <c r="D106" s="12" t="s">
        <v>419</v>
      </c>
      <c r="E106" s="18" t="s">
        <v>279</v>
      </c>
      <c r="F106" s="13" t="s">
        <v>420</v>
      </c>
      <c r="G106" s="12" t="s">
        <v>421</v>
      </c>
      <c r="H106" s="13" t="s">
        <v>248</v>
      </c>
      <c r="I106" s="13" t="s">
        <v>137</v>
      </c>
      <c r="J106" s="15" t="s">
        <v>138</v>
      </c>
    </row>
    <row r="107" spans="1:10">
      <c r="A107" s="11">
        <v>106</v>
      </c>
      <c r="B107" s="12" t="s">
        <v>69</v>
      </c>
      <c r="C107" s="12" t="s">
        <v>70</v>
      </c>
      <c r="D107" s="12" t="s">
        <v>322</v>
      </c>
      <c r="E107" s="19" t="s">
        <v>422</v>
      </c>
      <c r="F107" s="13" t="s">
        <v>423</v>
      </c>
      <c r="G107" s="12" t="s">
        <v>424</v>
      </c>
      <c r="H107" s="13" t="s">
        <v>248</v>
      </c>
      <c r="I107" s="13" t="s">
        <v>175</v>
      </c>
      <c r="J107" s="15" t="s">
        <v>138</v>
      </c>
    </row>
    <row r="108" spans="1:10">
      <c r="A108" s="11">
        <v>107</v>
      </c>
      <c r="B108" s="12" t="s">
        <v>69</v>
      </c>
      <c r="C108" s="12" t="s">
        <v>70</v>
      </c>
      <c r="D108" s="12" t="s">
        <v>257</v>
      </c>
      <c r="E108" s="19" t="s">
        <v>422</v>
      </c>
      <c r="F108" s="13" t="s">
        <v>425</v>
      </c>
      <c r="G108" s="12" t="s">
        <v>351</v>
      </c>
      <c r="H108" s="13" t="s">
        <v>248</v>
      </c>
      <c r="I108" s="13" t="s">
        <v>426</v>
      </c>
      <c r="J108" s="15" t="s">
        <v>138</v>
      </c>
    </row>
    <row r="109" spans="1:10">
      <c r="A109" s="11">
        <v>108</v>
      </c>
      <c r="B109" s="12" t="s">
        <v>69</v>
      </c>
      <c r="C109" s="12" t="s">
        <v>70</v>
      </c>
      <c r="D109" s="12" t="s">
        <v>146</v>
      </c>
      <c r="E109" s="19" t="s">
        <v>422</v>
      </c>
      <c r="F109" s="13" t="s">
        <v>427</v>
      </c>
      <c r="G109" s="12" t="s">
        <v>428</v>
      </c>
      <c r="H109" s="13" t="s">
        <v>248</v>
      </c>
      <c r="I109" s="13" t="s">
        <v>393</v>
      </c>
      <c r="J109" s="15" t="s">
        <v>138</v>
      </c>
    </row>
    <row r="110" spans="1:10">
      <c r="A110" s="11">
        <v>109</v>
      </c>
      <c r="B110" s="12" t="s">
        <v>69</v>
      </c>
      <c r="C110" s="12" t="s">
        <v>70</v>
      </c>
      <c r="D110" s="12" t="s">
        <v>103</v>
      </c>
      <c r="E110" s="19" t="s">
        <v>422</v>
      </c>
      <c r="F110" s="13" t="s">
        <v>429</v>
      </c>
      <c r="G110" s="12" t="s">
        <v>430</v>
      </c>
      <c r="H110" s="13" t="s">
        <v>248</v>
      </c>
      <c r="I110" s="13" t="s">
        <v>393</v>
      </c>
      <c r="J110" s="15" t="s">
        <v>138</v>
      </c>
    </row>
    <row r="111" spans="1:10">
      <c r="A111" s="11">
        <v>110</v>
      </c>
      <c r="B111" s="12" t="s">
        <v>69</v>
      </c>
      <c r="C111" s="12" t="s">
        <v>70</v>
      </c>
      <c r="D111" s="12" t="s">
        <v>322</v>
      </c>
      <c r="E111" s="19" t="s">
        <v>422</v>
      </c>
      <c r="F111" s="13" t="s">
        <v>431</v>
      </c>
      <c r="G111" s="12" t="s">
        <v>432</v>
      </c>
      <c r="H111" s="13" t="s">
        <v>248</v>
      </c>
      <c r="I111" s="13" t="s">
        <v>426</v>
      </c>
      <c r="J111" s="15" t="s">
        <v>138</v>
      </c>
    </row>
    <row r="112" spans="1:10">
      <c r="A112" s="11">
        <v>111</v>
      </c>
      <c r="B112" s="12" t="s">
        <v>69</v>
      </c>
      <c r="C112" s="12" t="s">
        <v>70</v>
      </c>
      <c r="D112" s="12" t="s">
        <v>257</v>
      </c>
      <c r="E112" s="19" t="s">
        <v>422</v>
      </c>
      <c r="F112" s="13" t="s">
        <v>433</v>
      </c>
      <c r="G112" s="12" t="s">
        <v>434</v>
      </c>
      <c r="H112" s="13" t="s">
        <v>248</v>
      </c>
      <c r="I112" s="13" t="s">
        <v>435</v>
      </c>
      <c r="J112" s="15" t="s">
        <v>138</v>
      </c>
    </row>
    <row r="113" spans="1:10">
      <c r="A113" s="11">
        <v>112</v>
      </c>
      <c r="B113" s="12" t="s">
        <v>69</v>
      </c>
      <c r="C113" s="12" t="s">
        <v>70</v>
      </c>
      <c r="D113" s="12" t="s">
        <v>146</v>
      </c>
      <c r="E113" s="19" t="s">
        <v>422</v>
      </c>
      <c r="F113" s="13" t="s">
        <v>436</v>
      </c>
      <c r="G113" s="12" t="s">
        <v>437</v>
      </c>
      <c r="H113" s="13" t="s">
        <v>248</v>
      </c>
      <c r="I113" s="13" t="s">
        <v>435</v>
      </c>
      <c r="J113" s="15" t="s">
        <v>138</v>
      </c>
    </row>
    <row r="114" spans="1:10">
      <c r="A114" s="11">
        <v>113</v>
      </c>
      <c r="B114" s="12" t="s">
        <v>69</v>
      </c>
      <c r="C114" s="12" t="s">
        <v>70</v>
      </c>
      <c r="D114" s="12" t="s">
        <v>78</v>
      </c>
      <c r="E114" s="19" t="s">
        <v>422</v>
      </c>
      <c r="F114" s="13" t="s">
        <v>438</v>
      </c>
      <c r="G114" s="12" t="s">
        <v>439</v>
      </c>
      <c r="H114" s="13" t="s">
        <v>248</v>
      </c>
      <c r="I114" s="13" t="s">
        <v>284</v>
      </c>
      <c r="J114" s="15" t="s">
        <v>138</v>
      </c>
    </row>
    <row r="115" spans="1:10">
      <c r="A115" s="11">
        <v>114</v>
      </c>
      <c r="B115" s="12" t="s">
        <v>69</v>
      </c>
      <c r="C115" s="12" t="s">
        <v>86</v>
      </c>
      <c r="D115" s="12" t="s">
        <v>440</v>
      </c>
      <c r="E115" s="19" t="s">
        <v>422</v>
      </c>
      <c r="F115" s="13" t="s">
        <v>441</v>
      </c>
      <c r="G115" s="12" t="s">
        <v>442</v>
      </c>
      <c r="H115" s="13" t="s">
        <v>248</v>
      </c>
      <c r="I115" s="13" t="s">
        <v>284</v>
      </c>
      <c r="J115" s="15" t="s">
        <v>138</v>
      </c>
    </row>
    <row r="116" spans="1:10">
      <c r="A116" s="11">
        <v>115</v>
      </c>
      <c r="B116" s="12" t="s">
        <v>69</v>
      </c>
      <c r="C116" s="12" t="s">
        <v>70</v>
      </c>
      <c r="D116" s="12" t="s">
        <v>443</v>
      </c>
      <c r="E116" s="17" t="s">
        <v>245</v>
      </c>
      <c r="F116" s="13" t="s">
        <v>444</v>
      </c>
      <c r="G116" s="20" t="s">
        <v>445</v>
      </c>
      <c r="H116" s="13" t="s">
        <v>446</v>
      </c>
      <c r="I116" s="13" t="s">
        <v>447</v>
      </c>
      <c r="J116" s="15" t="s">
        <v>142</v>
      </c>
    </row>
    <row r="117" spans="1:10">
      <c r="A117" s="11">
        <v>116</v>
      </c>
      <c r="B117" s="12" t="s">
        <v>69</v>
      </c>
      <c r="C117" s="12" t="s">
        <v>86</v>
      </c>
      <c r="D117" s="12" t="s">
        <v>440</v>
      </c>
      <c r="E117" s="17" t="s">
        <v>245</v>
      </c>
      <c r="F117" s="13" t="s">
        <v>448</v>
      </c>
      <c r="G117" s="20" t="s">
        <v>376</v>
      </c>
      <c r="H117" s="13" t="s">
        <v>446</v>
      </c>
      <c r="I117" s="13" t="s">
        <v>449</v>
      </c>
      <c r="J117" s="15" t="s">
        <v>142</v>
      </c>
    </row>
    <row r="118" spans="1:10">
      <c r="A118" s="11">
        <v>117</v>
      </c>
      <c r="B118" s="12" t="s">
        <v>69</v>
      </c>
      <c r="C118" s="12" t="s">
        <v>70</v>
      </c>
      <c r="D118" s="12" t="s">
        <v>78</v>
      </c>
      <c r="E118" s="18" t="s">
        <v>279</v>
      </c>
      <c r="F118" s="13" t="s">
        <v>450</v>
      </c>
      <c r="G118" s="20" t="s">
        <v>451</v>
      </c>
      <c r="H118" s="13" t="s">
        <v>446</v>
      </c>
      <c r="I118" s="13" t="s">
        <v>452</v>
      </c>
      <c r="J118" s="15" t="s">
        <v>142</v>
      </c>
    </row>
    <row r="119" spans="1:10">
      <c r="A119" s="11">
        <v>118</v>
      </c>
      <c r="B119" s="12" t="s">
        <v>69</v>
      </c>
      <c r="C119" s="12" t="s">
        <v>70</v>
      </c>
      <c r="D119" s="12" t="s">
        <v>71</v>
      </c>
      <c r="E119" s="18" t="s">
        <v>279</v>
      </c>
      <c r="F119" s="13" t="s">
        <v>453</v>
      </c>
      <c r="G119" s="20" t="s">
        <v>454</v>
      </c>
      <c r="H119" s="13" t="s">
        <v>446</v>
      </c>
      <c r="I119" s="13" t="s">
        <v>455</v>
      </c>
      <c r="J119" s="15" t="s">
        <v>142</v>
      </c>
    </row>
    <row r="120" spans="1:10">
      <c r="A120" s="11">
        <v>119</v>
      </c>
      <c r="B120" s="12" t="s">
        <v>69</v>
      </c>
      <c r="C120" s="12" t="s">
        <v>86</v>
      </c>
      <c r="D120" s="12" t="s">
        <v>456</v>
      </c>
      <c r="E120" s="18" t="s">
        <v>279</v>
      </c>
      <c r="F120" s="13" t="s">
        <v>457</v>
      </c>
      <c r="G120" s="20" t="s">
        <v>458</v>
      </c>
      <c r="H120" s="13" t="s">
        <v>446</v>
      </c>
      <c r="I120" s="13" t="s">
        <v>459</v>
      </c>
      <c r="J120" s="15" t="s">
        <v>138</v>
      </c>
    </row>
    <row r="121" spans="1:10">
      <c r="A121" s="11">
        <v>120</v>
      </c>
      <c r="B121" s="12" t="s">
        <v>69</v>
      </c>
      <c r="C121" s="12" t="s">
        <v>86</v>
      </c>
      <c r="D121" s="12" t="s">
        <v>87</v>
      </c>
      <c r="E121" s="18" t="s">
        <v>279</v>
      </c>
      <c r="F121" s="13" t="s">
        <v>460</v>
      </c>
      <c r="G121" s="20" t="s">
        <v>461</v>
      </c>
      <c r="H121" s="13" t="s">
        <v>446</v>
      </c>
      <c r="I121" s="13" t="s">
        <v>462</v>
      </c>
      <c r="J121" s="15" t="s">
        <v>142</v>
      </c>
    </row>
    <row r="122" spans="1:10">
      <c r="A122" s="11">
        <v>121</v>
      </c>
      <c r="B122" s="12" t="s">
        <v>69</v>
      </c>
      <c r="C122" s="12" t="s">
        <v>70</v>
      </c>
      <c r="D122" s="12" t="s">
        <v>103</v>
      </c>
      <c r="E122" s="19" t="s">
        <v>422</v>
      </c>
      <c r="F122" s="13" t="s">
        <v>463</v>
      </c>
      <c r="G122" s="20" t="s">
        <v>464</v>
      </c>
      <c r="H122" s="13" t="s">
        <v>446</v>
      </c>
      <c r="I122" s="13" t="s">
        <v>393</v>
      </c>
      <c r="J122" s="15" t="s">
        <v>138</v>
      </c>
    </row>
    <row r="123" spans="1:10">
      <c r="A123" s="11">
        <v>122</v>
      </c>
      <c r="B123" s="12" t="s">
        <v>69</v>
      </c>
      <c r="C123" s="12" t="s">
        <v>70</v>
      </c>
      <c r="D123" s="12" t="s">
        <v>257</v>
      </c>
      <c r="E123" s="19" t="s">
        <v>422</v>
      </c>
      <c r="F123" s="13" t="s">
        <v>286</v>
      </c>
      <c r="G123" s="20" t="s">
        <v>287</v>
      </c>
      <c r="H123" s="13" t="s">
        <v>446</v>
      </c>
      <c r="I123" s="13" t="s">
        <v>393</v>
      </c>
      <c r="J123" s="15" t="s">
        <v>138</v>
      </c>
    </row>
    <row r="124" spans="1:10">
      <c r="A124" s="11">
        <v>123</v>
      </c>
      <c r="B124" s="12" t="s">
        <v>69</v>
      </c>
      <c r="C124" s="12" t="s">
        <v>70</v>
      </c>
      <c r="D124" s="12" t="s">
        <v>103</v>
      </c>
      <c r="E124" s="19" t="s">
        <v>422</v>
      </c>
      <c r="F124" s="13" t="s">
        <v>465</v>
      </c>
      <c r="G124" s="20" t="s">
        <v>466</v>
      </c>
      <c r="H124" s="13" t="s">
        <v>446</v>
      </c>
      <c r="I124" s="13" t="s">
        <v>393</v>
      </c>
      <c r="J124" s="15" t="s">
        <v>138</v>
      </c>
    </row>
    <row r="125" spans="1:10">
      <c r="A125" s="11">
        <v>124</v>
      </c>
      <c r="B125" s="12" t="s">
        <v>69</v>
      </c>
      <c r="C125" s="12" t="s">
        <v>70</v>
      </c>
      <c r="D125" s="12" t="s">
        <v>322</v>
      </c>
      <c r="E125" s="19" t="s">
        <v>422</v>
      </c>
      <c r="F125" s="13" t="s">
        <v>467</v>
      </c>
      <c r="G125" s="20" t="s">
        <v>468</v>
      </c>
      <c r="H125" s="13" t="s">
        <v>446</v>
      </c>
      <c r="I125" s="13" t="s">
        <v>393</v>
      </c>
      <c r="J125" s="15" t="s">
        <v>138</v>
      </c>
    </row>
    <row r="126" spans="1:10">
      <c r="A126" s="11">
        <v>125</v>
      </c>
      <c r="B126" s="12" t="s">
        <v>69</v>
      </c>
      <c r="C126" s="12" t="s">
        <v>70</v>
      </c>
      <c r="D126" s="12" t="s">
        <v>103</v>
      </c>
      <c r="E126" s="19" t="s">
        <v>422</v>
      </c>
      <c r="F126" s="13" t="s">
        <v>469</v>
      </c>
      <c r="G126" s="20" t="s">
        <v>470</v>
      </c>
      <c r="H126" s="13" t="s">
        <v>446</v>
      </c>
      <c r="I126" s="13" t="s">
        <v>471</v>
      </c>
      <c r="J126" s="15" t="s">
        <v>138</v>
      </c>
    </row>
    <row r="127" spans="1:10">
      <c r="A127" s="11">
        <v>126</v>
      </c>
      <c r="B127" s="12" t="s">
        <v>69</v>
      </c>
      <c r="C127" s="12" t="s">
        <v>70</v>
      </c>
      <c r="D127" s="12" t="s">
        <v>146</v>
      </c>
      <c r="E127" s="13" t="s">
        <v>72</v>
      </c>
      <c r="F127" s="13" t="s">
        <v>472</v>
      </c>
      <c r="G127" s="21" t="s">
        <v>473</v>
      </c>
      <c r="H127" s="13" t="s">
        <v>474</v>
      </c>
      <c r="I127" s="13" t="s">
        <v>475</v>
      </c>
      <c r="J127" s="15" t="s">
        <v>190</v>
      </c>
    </row>
    <row r="128" spans="1:10">
      <c r="A128" s="11">
        <v>127</v>
      </c>
      <c r="B128" s="12" t="s">
        <v>69</v>
      </c>
      <c r="C128" s="12" t="s">
        <v>70</v>
      </c>
      <c r="D128" s="12" t="s">
        <v>103</v>
      </c>
      <c r="E128" s="13" t="s">
        <v>72</v>
      </c>
      <c r="F128" s="13" t="s">
        <v>476</v>
      </c>
      <c r="G128" s="21" t="s">
        <v>477</v>
      </c>
      <c r="H128" s="13" t="s">
        <v>474</v>
      </c>
      <c r="I128" s="13" t="s">
        <v>475</v>
      </c>
      <c r="J128" s="15" t="s">
        <v>190</v>
      </c>
    </row>
    <row r="129" spans="1:10">
      <c r="A129" s="11">
        <v>128</v>
      </c>
      <c r="B129" s="12" t="s">
        <v>69</v>
      </c>
      <c r="C129" s="12" t="s">
        <v>86</v>
      </c>
      <c r="D129" s="12" t="s">
        <v>122</v>
      </c>
      <c r="E129" s="13" t="s">
        <v>72</v>
      </c>
      <c r="F129" s="13" t="s">
        <v>478</v>
      </c>
      <c r="G129" s="21" t="s">
        <v>479</v>
      </c>
      <c r="H129" s="13" t="s">
        <v>474</v>
      </c>
      <c r="I129" s="13" t="s">
        <v>480</v>
      </c>
      <c r="J129" s="15" t="s">
        <v>190</v>
      </c>
    </row>
    <row r="130" spans="1:10">
      <c r="A130" s="11">
        <v>129</v>
      </c>
      <c r="B130" s="12" t="s">
        <v>69</v>
      </c>
      <c r="C130" s="12" t="s">
        <v>94</v>
      </c>
      <c r="D130" s="12" t="s">
        <v>95</v>
      </c>
      <c r="E130" s="16" t="s">
        <v>96</v>
      </c>
      <c r="F130" s="13" t="s">
        <v>481</v>
      </c>
      <c r="G130" s="21" t="s">
        <v>482</v>
      </c>
      <c r="H130" s="13" t="s">
        <v>474</v>
      </c>
      <c r="I130" s="13" t="s">
        <v>483</v>
      </c>
      <c r="J130" s="15" t="s">
        <v>190</v>
      </c>
    </row>
    <row r="131" spans="1:10">
      <c r="A131" s="11">
        <v>130</v>
      </c>
      <c r="B131" s="12" t="s">
        <v>69</v>
      </c>
      <c r="C131" s="12" t="s">
        <v>70</v>
      </c>
      <c r="D131" s="12" t="s">
        <v>103</v>
      </c>
      <c r="E131" s="16" t="s">
        <v>96</v>
      </c>
      <c r="F131" s="13" t="s">
        <v>484</v>
      </c>
      <c r="G131" s="21" t="s">
        <v>485</v>
      </c>
      <c r="H131" s="13" t="s">
        <v>474</v>
      </c>
      <c r="I131" s="13" t="s">
        <v>486</v>
      </c>
      <c r="J131" s="15" t="s">
        <v>190</v>
      </c>
    </row>
    <row r="132" spans="1:10">
      <c r="A132" s="11">
        <v>131</v>
      </c>
      <c r="B132" s="12" t="s">
        <v>69</v>
      </c>
      <c r="C132" s="12" t="s">
        <v>70</v>
      </c>
      <c r="D132" s="12" t="s">
        <v>78</v>
      </c>
      <c r="E132" s="16" t="s">
        <v>96</v>
      </c>
      <c r="F132" s="13" t="s">
        <v>487</v>
      </c>
      <c r="G132" s="21" t="s">
        <v>488</v>
      </c>
      <c r="H132" s="13" t="s">
        <v>474</v>
      </c>
      <c r="I132" s="13" t="s">
        <v>486</v>
      </c>
      <c r="J132" s="15" t="s">
        <v>190</v>
      </c>
    </row>
    <row r="133" spans="1:10">
      <c r="A133" s="11">
        <v>132</v>
      </c>
      <c r="B133" s="12" t="s">
        <v>69</v>
      </c>
      <c r="C133" s="12" t="s">
        <v>86</v>
      </c>
      <c r="D133" s="12" t="s">
        <v>489</v>
      </c>
      <c r="E133" s="16" t="s">
        <v>96</v>
      </c>
      <c r="F133" s="13" t="s">
        <v>490</v>
      </c>
      <c r="G133" s="21" t="s">
        <v>491</v>
      </c>
      <c r="H133" s="13" t="s">
        <v>474</v>
      </c>
      <c r="I133" s="13" t="s">
        <v>483</v>
      </c>
      <c r="J133" s="15" t="s">
        <v>190</v>
      </c>
    </row>
    <row r="134" spans="1:10">
      <c r="A134" s="11">
        <v>133</v>
      </c>
      <c r="B134" s="12" t="s">
        <v>69</v>
      </c>
      <c r="C134" s="12" t="s">
        <v>206</v>
      </c>
      <c r="D134" s="12" t="s">
        <v>492</v>
      </c>
      <c r="E134" s="16" t="s">
        <v>96</v>
      </c>
      <c r="F134" s="13" t="s">
        <v>493</v>
      </c>
      <c r="G134" s="21" t="s">
        <v>494</v>
      </c>
      <c r="H134" s="13" t="s">
        <v>474</v>
      </c>
      <c r="I134" s="13" t="s">
        <v>486</v>
      </c>
      <c r="J134" s="15" t="s">
        <v>190</v>
      </c>
    </row>
    <row r="135" spans="1:10">
      <c r="A135" s="11">
        <v>134</v>
      </c>
      <c r="B135" s="12" t="s">
        <v>69</v>
      </c>
      <c r="C135" s="12" t="s">
        <v>126</v>
      </c>
      <c r="D135" s="12" t="s">
        <v>127</v>
      </c>
      <c r="E135" s="16" t="s">
        <v>96</v>
      </c>
      <c r="F135" s="13" t="s">
        <v>495</v>
      </c>
      <c r="G135" s="21" t="s">
        <v>496</v>
      </c>
      <c r="H135" s="13" t="s">
        <v>474</v>
      </c>
      <c r="I135" s="13" t="s">
        <v>497</v>
      </c>
      <c r="J135" s="15" t="s">
        <v>190</v>
      </c>
    </row>
    <row r="136" spans="1:10">
      <c r="A136" s="11">
        <v>135</v>
      </c>
      <c r="B136" s="12" t="s">
        <v>69</v>
      </c>
      <c r="C136" s="12" t="s">
        <v>239</v>
      </c>
      <c r="D136" s="12" t="s">
        <v>240</v>
      </c>
      <c r="E136" s="16" t="s">
        <v>96</v>
      </c>
      <c r="F136" s="13" t="s">
        <v>498</v>
      </c>
      <c r="G136" s="21" t="s">
        <v>499</v>
      </c>
      <c r="H136" s="13" t="s">
        <v>474</v>
      </c>
      <c r="I136" s="13" t="s">
        <v>500</v>
      </c>
      <c r="J136" s="15" t="s">
        <v>190</v>
      </c>
    </row>
    <row r="137" spans="1:10">
      <c r="A137" s="11">
        <v>136</v>
      </c>
      <c r="B137" s="12" t="s">
        <v>69</v>
      </c>
      <c r="C137" s="12" t="s">
        <v>94</v>
      </c>
      <c r="D137" s="12" t="s">
        <v>501</v>
      </c>
      <c r="E137" s="17" t="s">
        <v>245</v>
      </c>
      <c r="F137" s="13" t="s">
        <v>502</v>
      </c>
      <c r="G137" s="21" t="s">
        <v>503</v>
      </c>
      <c r="H137" s="13" t="s">
        <v>474</v>
      </c>
      <c r="I137" s="13" t="s">
        <v>504</v>
      </c>
      <c r="J137" s="15" t="s">
        <v>190</v>
      </c>
    </row>
    <row r="138" spans="1:10">
      <c r="A138" s="11">
        <v>137</v>
      </c>
      <c r="B138" s="12" t="s">
        <v>69</v>
      </c>
      <c r="C138" s="12" t="s">
        <v>70</v>
      </c>
      <c r="D138" s="12" t="s">
        <v>505</v>
      </c>
      <c r="E138" s="17" t="s">
        <v>245</v>
      </c>
      <c r="F138" s="13" t="s">
        <v>506</v>
      </c>
      <c r="G138" s="21" t="s">
        <v>507</v>
      </c>
      <c r="H138" s="13" t="s">
        <v>474</v>
      </c>
      <c r="I138" s="13" t="s">
        <v>508</v>
      </c>
      <c r="J138" s="15" t="s">
        <v>190</v>
      </c>
    </row>
    <row r="139" spans="1:10">
      <c r="A139" s="11">
        <v>138</v>
      </c>
      <c r="B139" s="12" t="s">
        <v>69</v>
      </c>
      <c r="C139" s="12" t="s">
        <v>117</v>
      </c>
      <c r="D139" s="12" t="s">
        <v>509</v>
      </c>
      <c r="E139" s="17" t="s">
        <v>245</v>
      </c>
      <c r="F139" s="13" t="s">
        <v>510</v>
      </c>
      <c r="G139" s="21" t="s">
        <v>511</v>
      </c>
      <c r="H139" s="13" t="s">
        <v>474</v>
      </c>
      <c r="I139" s="13" t="s">
        <v>480</v>
      </c>
      <c r="J139" s="15" t="s">
        <v>190</v>
      </c>
    </row>
    <row r="140" spans="1:10">
      <c r="A140" s="11">
        <v>139</v>
      </c>
      <c r="B140" s="12" t="s">
        <v>69</v>
      </c>
      <c r="C140" s="12" t="s">
        <v>299</v>
      </c>
      <c r="D140" s="12" t="s">
        <v>512</v>
      </c>
      <c r="E140" s="18" t="s">
        <v>279</v>
      </c>
      <c r="F140" s="13" t="s">
        <v>513</v>
      </c>
      <c r="G140" s="21" t="s">
        <v>514</v>
      </c>
      <c r="H140" s="13" t="s">
        <v>474</v>
      </c>
      <c r="I140" s="13" t="s">
        <v>515</v>
      </c>
      <c r="J140" s="15" t="s">
        <v>190</v>
      </c>
    </row>
    <row r="141" spans="1:10">
      <c r="A141" s="11">
        <v>140</v>
      </c>
      <c r="B141" s="12" t="s">
        <v>69</v>
      </c>
      <c r="C141" s="12" t="s">
        <v>70</v>
      </c>
      <c r="D141" s="12" t="s">
        <v>146</v>
      </c>
      <c r="E141" s="18" t="s">
        <v>279</v>
      </c>
      <c r="F141" s="13" t="s">
        <v>516</v>
      </c>
      <c r="G141" s="21" t="s">
        <v>517</v>
      </c>
      <c r="H141" s="13" t="s">
        <v>474</v>
      </c>
      <c r="I141" s="13" t="s">
        <v>518</v>
      </c>
      <c r="J141" s="15" t="s">
        <v>190</v>
      </c>
    </row>
    <row r="142" spans="1:10">
      <c r="A142" s="11">
        <v>141</v>
      </c>
      <c r="B142" s="12" t="s">
        <v>69</v>
      </c>
      <c r="C142" s="12" t="s">
        <v>206</v>
      </c>
      <c r="D142" s="12" t="s">
        <v>492</v>
      </c>
      <c r="E142" s="18" t="s">
        <v>279</v>
      </c>
      <c r="F142" s="13" t="s">
        <v>519</v>
      </c>
      <c r="G142" s="21" t="s">
        <v>520</v>
      </c>
      <c r="H142" s="13" t="s">
        <v>474</v>
      </c>
      <c r="I142" s="13" t="s">
        <v>521</v>
      </c>
      <c r="J142" s="15" t="s">
        <v>190</v>
      </c>
    </row>
    <row r="143" spans="1:10">
      <c r="A143" s="11">
        <v>142</v>
      </c>
      <c r="B143" s="12" t="s">
        <v>69</v>
      </c>
      <c r="C143" s="12" t="s">
        <v>206</v>
      </c>
      <c r="D143" s="12" t="s">
        <v>394</v>
      </c>
      <c r="E143" s="18" t="s">
        <v>279</v>
      </c>
      <c r="F143" s="13" t="s">
        <v>519</v>
      </c>
      <c r="G143" s="21" t="s">
        <v>520</v>
      </c>
      <c r="H143" s="13" t="s">
        <v>474</v>
      </c>
      <c r="I143" s="13" t="s">
        <v>522</v>
      </c>
      <c r="J143" s="15" t="s">
        <v>190</v>
      </c>
    </row>
    <row r="144" spans="1:10">
      <c r="A144" s="11">
        <v>143</v>
      </c>
      <c r="B144" s="12" t="s">
        <v>69</v>
      </c>
      <c r="C144" s="12" t="s">
        <v>212</v>
      </c>
      <c r="D144" s="12" t="s">
        <v>213</v>
      </c>
      <c r="E144" s="18" t="s">
        <v>279</v>
      </c>
      <c r="F144" s="13" t="s">
        <v>523</v>
      </c>
      <c r="G144" s="21" t="s">
        <v>524</v>
      </c>
      <c r="H144" s="13" t="s">
        <v>474</v>
      </c>
      <c r="I144" s="13" t="s">
        <v>525</v>
      </c>
      <c r="J144" s="15" t="s">
        <v>190</v>
      </c>
    </row>
    <row r="145" spans="1:10">
      <c r="A145" s="11">
        <v>144</v>
      </c>
      <c r="B145" s="12" t="s">
        <v>69</v>
      </c>
      <c r="C145" s="12" t="s">
        <v>230</v>
      </c>
      <c r="D145" s="12" t="s">
        <v>231</v>
      </c>
      <c r="E145" s="18" t="s">
        <v>279</v>
      </c>
      <c r="F145" s="13" t="s">
        <v>526</v>
      </c>
      <c r="G145" s="21" t="s">
        <v>527</v>
      </c>
      <c r="H145" s="13" t="s">
        <v>474</v>
      </c>
      <c r="I145" s="13" t="s">
        <v>525</v>
      </c>
      <c r="J145" s="15" t="s">
        <v>190</v>
      </c>
    </row>
    <row r="146" spans="1:10">
      <c r="A146" s="11">
        <v>145</v>
      </c>
      <c r="B146" s="12" t="s">
        <v>69</v>
      </c>
      <c r="C146" s="12" t="s">
        <v>234</v>
      </c>
      <c r="D146" s="12" t="s">
        <v>235</v>
      </c>
      <c r="E146" s="18" t="s">
        <v>279</v>
      </c>
      <c r="F146" s="13" t="s">
        <v>528</v>
      </c>
      <c r="G146" s="21" t="s">
        <v>529</v>
      </c>
      <c r="H146" s="13" t="s">
        <v>474</v>
      </c>
      <c r="I146" s="13" t="s">
        <v>525</v>
      </c>
      <c r="J146" s="15" t="s">
        <v>190</v>
      </c>
    </row>
    <row r="147" spans="1:10">
      <c r="A147" s="11">
        <v>146</v>
      </c>
      <c r="B147" s="12" t="s">
        <v>69</v>
      </c>
      <c r="C147" s="12" t="s">
        <v>234</v>
      </c>
      <c r="D147" s="12" t="s">
        <v>235</v>
      </c>
      <c r="E147" s="18" t="s">
        <v>279</v>
      </c>
      <c r="F147" s="13" t="s">
        <v>530</v>
      </c>
      <c r="G147" s="21" t="s">
        <v>531</v>
      </c>
      <c r="H147" s="13" t="s">
        <v>474</v>
      </c>
      <c r="I147" s="13" t="s">
        <v>521</v>
      </c>
      <c r="J147" s="15" t="s">
        <v>190</v>
      </c>
    </row>
    <row r="148" spans="1:10">
      <c r="A148" s="11">
        <v>147</v>
      </c>
      <c r="B148" s="12" t="s">
        <v>69</v>
      </c>
      <c r="C148" s="12" t="s">
        <v>234</v>
      </c>
      <c r="D148" s="12" t="s">
        <v>408</v>
      </c>
      <c r="E148" s="18" t="s">
        <v>279</v>
      </c>
      <c r="F148" s="13" t="s">
        <v>532</v>
      </c>
      <c r="G148" s="21" t="s">
        <v>533</v>
      </c>
      <c r="H148" s="13" t="s">
        <v>474</v>
      </c>
      <c r="I148" s="13" t="s">
        <v>534</v>
      </c>
      <c r="J148" s="15" t="s">
        <v>190</v>
      </c>
    </row>
    <row r="149" spans="1:10">
      <c r="A149" s="11">
        <v>148</v>
      </c>
      <c r="B149" s="12" t="s">
        <v>69</v>
      </c>
      <c r="C149" s="12" t="s">
        <v>94</v>
      </c>
      <c r="D149" s="12" t="s">
        <v>95</v>
      </c>
      <c r="E149" s="16" t="s">
        <v>96</v>
      </c>
      <c r="F149" s="13" t="s">
        <v>535</v>
      </c>
      <c r="G149" s="22" t="s">
        <v>536</v>
      </c>
      <c r="H149" s="13" t="s">
        <v>537</v>
      </c>
      <c r="I149" s="13" t="s">
        <v>538</v>
      </c>
      <c r="J149" s="15" t="s">
        <v>539</v>
      </c>
    </row>
    <row r="150" spans="1:10">
      <c r="A150" s="11">
        <v>149</v>
      </c>
      <c r="B150" s="12" t="s">
        <v>69</v>
      </c>
      <c r="C150" s="12" t="s">
        <v>303</v>
      </c>
      <c r="D150" s="12" t="s">
        <v>540</v>
      </c>
      <c r="E150" s="16" t="s">
        <v>96</v>
      </c>
      <c r="F150" s="13" t="s">
        <v>541</v>
      </c>
      <c r="G150" s="22" t="s">
        <v>542</v>
      </c>
      <c r="H150" s="13" t="s">
        <v>537</v>
      </c>
      <c r="I150" s="13" t="s">
        <v>543</v>
      </c>
      <c r="J150" s="15" t="s">
        <v>85</v>
      </c>
    </row>
    <row r="151" spans="1:10">
      <c r="A151" s="11">
        <v>150</v>
      </c>
      <c r="B151" s="12" t="s">
        <v>69</v>
      </c>
      <c r="C151" s="12" t="s">
        <v>70</v>
      </c>
      <c r="D151" s="12" t="s">
        <v>146</v>
      </c>
      <c r="E151" s="16" t="s">
        <v>96</v>
      </c>
      <c r="F151" s="13" t="s">
        <v>544</v>
      </c>
      <c r="G151" s="22" t="s">
        <v>335</v>
      </c>
      <c r="H151" s="13" t="s">
        <v>537</v>
      </c>
      <c r="I151" s="13" t="s">
        <v>545</v>
      </c>
      <c r="J151" s="15" t="s">
        <v>546</v>
      </c>
    </row>
    <row r="152" spans="1:10">
      <c r="A152" s="11">
        <v>151</v>
      </c>
      <c r="B152" s="12" t="s">
        <v>69</v>
      </c>
      <c r="C152" s="12" t="s">
        <v>70</v>
      </c>
      <c r="D152" s="12" t="s">
        <v>78</v>
      </c>
      <c r="E152" s="16" t="s">
        <v>96</v>
      </c>
      <c r="F152" s="13" t="s">
        <v>547</v>
      </c>
      <c r="G152" s="22" t="s">
        <v>548</v>
      </c>
      <c r="H152" s="13" t="s">
        <v>537</v>
      </c>
      <c r="I152" s="13" t="s">
        <v>549</v>
      </c>
      <c r="J152" s="15" t="s">
        <v>546</v>
      </c>
    </row>
    <row r="153" spans="1:10">
      <c r="A153" s="11">
        <v>152</v>
      </c>
      <c r="B153" s="12" t="s">
        <v>69</v>
      </c>
      <c r="C153" s="12" t="s">
        <v>70</v>
      </c>
      <c r="D153" s="12" t="s">
        <v>71</v>
      </c>
      <c r="E153" s="16" t="s">
        <v>96</v>
      </c>
      <c r="F153" s="13" t="s">
        <v>550</v>
      </c>
      <c r="G153" s="22" t="s">
        <v>551</v>
      </c>
      <c r="H153" s="13" t="s">
        <v>537</v>
      </c>
      <c r="I153" s="13" t="s">
        <v>552</v>
      </c>
      <c r="J153" s="15" t="s">
        <v>539</v>
      </c>
    </row>
    <row r="154" spans="1:10">
      <c r="A154" s="11">
        <v>153</v>
      </c>
      <c r="B154" s="12" t="s">
        <v>69</v>
      </c>
      <c r="C154" s="12" t="s">
        <v>70</v>
      </c>
      <c r="D154" s="12" t="s">
        <v>103</v>
      </c>
      <c r="E154" s="16" t="s">
        <v>96</v>
      </c>
      <c r="F154" s="13" t="s">
        <v>553</v>
      </c>
      <c r="G154" s="22" t="s">
        <v>554</v>
      </c>
      <c r="H154" s="13" t="s">
        <v>537</v>
      </c>
      <c r="I154" s="13" t="s">
        <v>555</v>
      </c>
      <c r="J154" s="15" t="s">
        <v>556</v>
      </c>
    </row>
    <row r="155" spans="1:10">
      <c r="A155" s="11">
        <v>154</v>
      </c>
      <c r="B155" s="12" t="s">
        <v>69</v>
      </c>
      <c r="C155" s="12" t="s">
        <v>70</v>
      </c>
      <c r="D155" s="12" t="s">
        <v>71</v>
      </c>
      <c r="E155" s="16" t="s">
        <v>96</v>
      </c>
      <c r="F155" s="13" t="s">
        <v>557</v>
      </c>
      <c r="G155" s="22" t="s">
        <v>558</v>
      </c>
      <c r="H155" s="13" t="s">
        <v>537</v>
      </c>
      <c r="I155" s="13" t="s">
        <v>559</v>
      </c>
      <c r="J155" s="15" t="s">
        <v>337</v>
      </c>
    </row>
    <row r="156" spans="1:10">
      <c r="A156" s="11">
        <v>155</v>
      </c>
      <c r="B156" s="12" t="s">
        <v>69</v>
      </c>
      <c r="C156" s="12" t="s">
        <v>70</v>
      </c>
      <c r="D156" s="12" t="s">
        <v>71</v>
      </c>
      <c r="E156" s="16" t="s">
        <v>96</v>
      </c>
      <c r="F156" s="13" t="s">
        <v>560</v>
      </c>
      <c r="G156" s="22" t="s">
        <v>561</v>
      </c>
      <c r="H156" s="13" t="s">
        <v>537</v>
      </c>
      <c r="I156" s="13" t="s">
        <v>562</v>
      </c>
      <c r="J156" s="15" t="s">
        <v>337</v>
      </c>
    </row>
    <row r="157" spans="1:10">
      <c r="A157" s="11">
        <v>156</v>
      </c>
      <c r="B157" s="12" t="s">
        <v>69</v>
      </c>
      <c r="C157" s="12" t="s">
        <v>126</v>
      </c>
      <c r="D157" s="12" t="s">
        <v>127</v>
      </c>
      <c r="E157" s="16" t="s">
        <v>96</v>
      </c>
      <c r="F157" s="13" t="s">
        <v>563</v>
      </c>
      <c r="G157" s="22" t="s">
        <v>564</v>
      </c>
      <c r="H157" s="13" t="s">
        <v>537</v>
      </c>
      <c r="I157" s="13" t="s">
        <v>565</v>
      </c>
      <c r="J157" s="15" t="s">
        <v>566</v>
      </c>
    </row>
    <row r="158" spans="1:10">
      <c r="A158" s="11">
        <v>157</v>
      </c>
      <c r="B158" s="12" t="s">
        <v>69</v>
      </c>
      <c r="C158" s="12" t="s">
        <v>94</v>
      </c>
      <c r="D158" s="12" t="s">
        <v>567</v>
      </c>
      <c r="E158" s="18" t="s">
        <v>279</v>
      </c>
      <c r="F158" s="13" t="s">
        <v>568</v>
      </c>
      <c r="G158" s="22" t="s">
        <v>569</v>
      </c>
      <c r="H158" s="13" t="s">
        <v>537</v>
      </c>
      <c r="I158" s="13" t="s">
        <v>570</v>
      </c>
      <c r="J158" s="15" t="s">
        <v>337</v>
      </c>
    </row>
    <row r="159" spans="1:10">
      <c r="A159" s="11">
        <v>158</v>
      </c>
      <c r="B159" s="12" t="s">
        <v>69</v>
      </c>
      <c r="C159" s="12" t="s">
        <v>303</v>
      </c>
      <c r="D159" s="12" t="s">
        <v>540</v>
      </c>
      <c r="E159" s="18" t="s">
        <v>279</v>
      </c>
      <c r="F159" s="13" t="s">
        <v>571</v>
      </c>
      <c r="G159" s="22" t="s">
        <v>572</v>
      </c>
      <c r="H159" s="13" t="s">
        <v>537</v>
      </c>
      <c r="I159" s="13" t="s">
        <v>137</v>
      </c>
      <c r="J159" s="15" t="s">
        <v>142</v>
      </c>
    </row>
    <row r="160" spans="1:10">
      <c r="A160" s="11">
        <v>159</v>
      </c>
      <c r="B160" s="12" t="s">
        <v>69</v>
      </c>
      <c r="C160" s="12" t="s">
        <v>70</v>
      </c>
      <c r="D160" s="12" t="s">
        <v>146</v>
      </c>
      <c r="E160" s="18" t="s">
        <v>279</v>
      </c>
      <c r="F160" s="13" t="s">
        <v>573</v>
      </c>
      <c r="G160" s="22" t="s">
        <v>574</v>
      </c>
      <c r="H160" s="13" t="s">
        <v>537</v>
      </c>
      <c r="I160" s="13" t="s">
        <v>575</v>
      </c>
      <c r="J160" s="15" t="s">
        <v>575</v>
      </c>
    </row>
    <row r="161" spans="1:10">
      <c r="A161" s="11">
        <v>160</v>
      </c>
      <c r="B161" s="12" t="s">
        <v>69</v>
      </c>
      <c r="C161" s="12" t="s">
        <v>70</v>
      </c>
      <c r="D161" s="12" t="s">
        <v>71</v>
      </c>
      <c r="E161" s="18" t="s">
        <v>279</v>
      </c>
      <c r="F161" s="13" t="s">
        <v>576</v>
      </c>
      <c r="G161" s="22" t="s">
        <v>577</v>
      </c>
      <c r="H161" s="13" t="s">
        <v>537</v>
      </c>
      <c r="I161" s="13" t="s">
        <v>578</v>
      </c>
      <c r="J161" s="15" t="s">
        <v>337</v>
      </c>
    </row>
    <row r="162" spans="1:10">
      <c r="A162" s="11">
        <v>161</v>
      </c>
      <c r="B162" s="12" t="s">
        <v>69</v>
      </c>
      <c r="C162" s="12" t="s">
        <v>70</v>
      </c>
      <c r="D162" s="12" t="s">
        <v>103</v>
      </c>
      <c r="E162" s="18" t="s">
        <v>279</v>
      </c>
      <c r="F162" s="13" t="s">
        <v>579</v>
      </c>
      <c r="G162" s="22" t="s">
        <v>580</v>
      </c>
      <c r="H162" s="13" t="s">
        <v>537</v>
      </c>
      <c r="I162" s="13" t="s">
        <v>581</v>
      </c>
      <c r="J162" s="15" t="s">
        <v>337</v>
      </c>
    </row>
    <row r="163" spans="1:10">
      <c r="A163" s="11">
        <v>162</v>
      </c>
      <c r="B163" s="12" t="s">
        <v>69</v>
      </c>
      <c r="C163" s="12" t="s">
        <v>180</v>
      </c>
      <c r="D163" s="12" t="s">
        <v>181</v>
      </c>
      <c r="E163" s="18" t="s">
        <v>279</v>
      </c>
      <c r="F163" s="13" t="s">
        <v>582</v>
      </c>
      <c r="G163" s="22" t="s">
        <v>583</v>
      </c>
      <c r="H163" s="13" t="s">
        <v>537</v>
      </c>
      <c r="I163" s="13" t="s">
        <v>584</v>
      </c>
      <c r="J163" s="15" t="s">
        <v>539</v>
      </c>
    </row>
    <row r="164" spans="1:10">
      <c r="A164" s="11">
        <v>163</v>
      </c>
      <c r="B164" s="12" t="s">
        <v>69</v>
      </c>
      <c r="C164" s="12" t="s">
        <v>94</v>
      </c>
      <c r="D164" s="12" t="s">
        <v>585</v>
      </c>
      <c r="E164" s="19" t="s">
        <v>422</v>
      </c>
      <c r="F164" s="13" t="s">
        <v>568</v>
      </c>
      <c r="G164" s="22" t="s">
        <v>586</v>
      </c>
      <c r="H164" s="13" t="s">
        <v>537</v>
      </c>
      <c r="I164" s="13" t="s">
        <v>587</v>
      </c>
      <c r="J164" s="15" t="s">
        <v>337</v>
      </c>
    </row>
    <row r="165" spans="1:10">
      <c r="A165" s="11">
        <v>164</v>
      </c>
      <c r="B165" s="12" t="s">
        <v>69</v>
      </c>
      <c r="C165" s="12" t="s">
        <v>303</v>
      </c>
      <c r="D165" s="12" t="s">
        <v>304</v>
      </c>
      <c r="E165" s="19" t="s">
        <v>422</v>
      </c>
      <c r="F165" s="13" t="s">
        <v>588</v>
      </c>
      <c r="G165" s="22" t="s">
        <v>589</v>
      </c>
      <c r="H165" s="13" t="s">
        <v>537</v>
      </c>
      <c r="I165" s="13" t="s">
        <v>590</v>
      </c>
      <c r="J165" s="15" t="s">
        <v>138</v>
      </c>
    </row>
    <row r="166" spans="1:10">
      <c r="A166" s="11">
        <v>165</v>
      </c>
      <c r="B166" s="12" t="s">
        <v>69</v>
      </c>
      <c r="C166" s="12" t="s">
        <v>70</v>
      </c>
      <c r="D166" s="12" t="s">
        <v>103</v>
      </c>
      <c r="E166" s="19" t="s">
        <v>422</v>
      </c>
      <c r="F166" s="13" t="s">
        <v>591</v>
      </c>
      <c r="G166" s="22" t="s">
        <v>592</v>
      </c>
      <c r="H166" s="13" t="s">
        <v>537</v>
      </c>
      <c r="I166" s="13" t="s">
        <v>593</v>
      </c>
      <c r="J166" s="15" t="s">
        <v>337</v>
      </c>
    </row>
    <row r="167" spans="1:10">
      <c r="A167" s="11">
        <v>166</v>
      </c>
      <c r="B167" s="12" t="s">
        <v>69</v>
      </c>
      <c r="C167" s="12" t="s">
        <v>70</v>
      </c>
      <c r="D167" s="12" t="s">
        <v>253</v>
      </c>
      <c r="E167" s="19" t="s">
        <v>422</v>
      </c>
      <c r="F167" s="13" t="s">
        <v>594</v>
      </c>
      <c r="G167" s="22" t="s">
        <v>595</v>
      </c>
      <c r="H167" s="13" t="s">
        <v>537</v>
      </c>
      <c r="I167" s="13" t="s">
        <v>596</v>
      </c>
      <c r="J167" s="15" t="s">
        <v>539</v>
      </c>
    </row>
  </sheetData>
  <autoFilter ref="H1:H167">
    <sortState ref="H2:H167"/>
  </autoFilter>
</worksheet>
</file>

<file path=xl/worksheets/sheet4.xml><?xml version="1.0" encoding="utf-8"?>
<worksheet xmlns="http://schemas.openxmlformats.org/spreadsheetml/2006/main">
  <sheetPr codeName="分等级规则">
    <tabColor/>
  </sheetPr>
  <dimension ref="A69"/>
  <sheetViews>
    <sheetView showGridLines="true" workbookViewId="0"/>
  </sheetViews>
  <sheetFormatPr baseColWidth="13" defaultRowHeight="18" customHeight="true"/>
  <cols>
    <col min="1" max="1" width="96.1719" style="25" customWidth="true"/>
    <col min="2" max="26" width="13.6719" style="25"/>
  </cols>
  <sheetData>
    <row r="1" spans="1:1">
      <c r="A1" s="4" t="s">
        <v>1</v>
      </c>
    </row>
    <row r="2" spans="1:1">
      <c r="A2" s="5" t="s"/>
    </row>
    <row r="3" spans="1:1">
      <c r="A3" s="6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7" t="s">
        <v>6</v>
      </c>
    </row>
    <row r="8" spans="1:1">
      <c r="A8" s="7" t="s">
        <v>7</v>
      </c>
    </row>
    <row r="9" spans="1:1">
      <c r="A9" s="5" t="s"/>
    </row>
    <row r="10" spans="1:1">
      <c r="A10" s="6" t="s">
        <v>8</v>
      </c>
    </row>
    <row r="11" spans="1:1">
      <c r="A11" s="5" t="s"/>
    </row>
    <row r="12" spans="1:1">
      <c r="A12" s="8" t="s">
        <v>9</v>
      </c>
    </row>
    <row r="13" spans="1:1">
      <c r="A13" s="7" t="s">
        <v>10</v>
      </c>
    </row>
    <row r="14" spans="1:1">
      <c r="A14" s="7" t="s">
        <v>11</v>
      </c>
    </row>
    <row r="15" spans="1:1">
      <c r="A15" s="7" t="s">
        <v>12</v>
      </c>
    </row>
    <row r="16" spans="1:1">
      <c r="A16" s="5" t="s"/>
    </row>
    <row r="17" spans="1:1">
      <c r="A17" s="8" t="s">
        <v>13</v>
      </c>
    </row>
    <row r="18" spans="1:1">
      <c r="A18" s="7" t="s">
        <v>14</v>
      </c>
    </row>
    <row r="19" spans="1:1">
      <c r="A19" s="7" t="s">
        <v>15</v>
      </c>
    </row>
    <row r="20" spans="1:1">
      <c r="A20" s="7" t="s">
        <v>16</v>
      </c>
    </row>
    <row r="21" spans="1:1">
      <c r="A21" s="7" t="s">
        <v>17</v>
      </c>
    </row>
    <row r="22" spans="1:1">
      <c r="A22" s="5" t="s"/>
    </row>
    <row r="23" spans="1:1">
      <c r="A23" s="8" t="s">
        <v>18</v>
      </c>
    </row>
    <row r="24" spans="1:1">
      <c r="A24" s="7" t="s">
        <v>19</v>
      </c>
    </row>
    <row r="25" spans="1:1">
      <c r="A25" s="7" t="s">
        <v>20</v>
      </c>
    </row>
    <row r="26" spans="1:1">
      <c r="A26" s="7" t="s">
        <v>21</v>
      </c>
    </row>
    <row r="27" spans="1:1">
      <c r="A27" s="7" t="s">
        <v>22</v>
      </c>
    </row>
    <row r="28" spans="1:1">
      <c r="A28" s="5" t="s"/>
    </row>
    <row r="29" spans="1:1">
      <c r="A29" s="8" t="s">
        <v>23</v>
      </c>
    </row>
    <row r="30" spans="1:1">
      <c r="A30" s="7" t="s">
        <v>24</v>
      </c>
    </row>
    <row r="31" spans="1:1">
      <c r="A31" s="7" t="s">
        <v>25</v>
      </c>
    </row>
    <row r="32" spans="1:1">
      <c r="A32" s="7" t="s">
        <v>26</v>
      </c>
    </row>
    <row r="33" spans="1:1">
      <c r="A33" s="5" t="s"/>
    </row>
    <row r="34" spans="1:1">
      <c r="A34" s="8" t="s">
        <v>27</v>
      </c>
    </row>
    <row r="35" spans="1:1">
      <c r="A35" s="7" t="s">
        <v>28</v>
      </c>
    </row>
    <row r="36" spans="1:1">
      <c r="A36" s="7" t="s">
        <v>29</v>
      </c>
    </row>
    <row r="37" spans="1:1">
      <c r="A37" s="7" t="s">
        <v>30</v>
      </c>
    </row>
    <row r="38" spans="1:1">
      <c r="A38" s="7" t="s">
        <v>31</v>
      </c>
    </row>
    <row r="39" spans="1:1">
      <c r="A39" s="7" t="s">
        <v>32</v>
      </c>
    </row>
    <row r="40" spans="1:1">
      <c r="A40" s="5" t="s"/>
    </row>
    <row r="41" spans="1:1">
      <c r="A41" s="8" t="s">
        <v>33</v>
      </c>
    </row>
    <row r="42" spans="1:1">
      <c r="A42" s="7" t="s">
        <v>34</v>
      </c>
    </row>
    <row r="43" spans="1:1">
      <c r="A43" s="7" t="s">
        <v>35</v>
      </c>
    </row>
    <row r="44" spans="1:1">
      <c r="A44" s="7" t="s">
        <v>36</v>
      </c>
    </row>
    <row r="45" spans="1:1">
      <c r="A45" s="7" t="s">
        <v>37</v>
      </c>
    </row>
    <row r="46" spans="1:1">
      <c r="A46" s="7" t="s">
        <v>38</v>
      </c>
    </row>
    <row r="47" spans="1:1">
      <c r="A47" s="7" t="s">
        <v>39</v>
      </c>
    </row>
    <row r="48" spans="1:1">
      <c r="A48" s="7" t="s">
        <v>40</v>
      </c>
    </row>
    <row r="49" spans="1:1">
      <c r="A49" s="7" t="s">
        <v>41</v>
      </c>
    </row>
    <row r="50" spans="1:1">
      <c r="A50" s="5" t="s"/>
    </row>
    <row r="51" spans="1:1">
      <c r="A51" s="6" t="s">
        <v>42</v>
      </c>
    </row>
    <row r="52" spans="1:1">
      <c r="A52" s="7" t="s">
        <v>43</v>
      </c>
    </row>
    <row r="53" spans="1:1">
      <c r="A53" s="7" t="s">
        <v>44</v>
      </c>
    </row>
    <row r="54" spans="1:1">
      <c r="A54" s="7" t="s">
        <v>45</v>
      </c>
    </row>
    <row r="55" spans="1:1">
      <c r="A55" s="7" t="s">
        <v>46</v>
      </c>
    </row>
    <row r="56" spans="1:1">
      <c r="A56" s="7" t="s">
        <v>47</v>
      </c>
    </row>
    <row r="57" spans="1:1">
      <c r="A57" s="5" t="s"/>
    </row>
    <row r="58" spans="1:1">
      <c r="A58" s="6" t="s">
        <v>48</v>
      </c>
    </row>
    <row r="59" spans="1:1">
      <c r="A59" s="7" t="s">
        <v>49</v>
      </c>
    </row>
    <row r="60" spans="1:1">
      <c r="A60" s="7" t="s">
        <v>50</v>
      </c>
    </row>
    <row r="61" spans="1:1">
      <c r="A61" s="7" t="s">
        <v>51</v>
      </c>
    </row>
    <row r="62" spans="1:1">
      <c r="A62" s="5" t="s"/>
    </row>
    <row r="63" spans="1:1">
      <c r="A63" s="6" t="s">
        <v>52</v>
      </c>
    </row>
    <row r="64" spans="1:1">
      <c r="A64" s="7" t="s">
        <v>53</v>
      </c>
    </row>
    <row r="65" spans="1:1">
      <c r="A65" s="7" t="s">
        <v>54</v>
      </c>
    </row>
    <row r="66" spans="1:1">
      <c r="A66" s="7" t="s">
        <v>55</v>
      </c>
    </row>
    <row r="67" spans="1:1">
      <c r="A67" s="7" t="s">
        <v>56</v>
      </c>
    </row>
    <row r="68" spans="1:1">
      <c r="A68" s="7" t="s">
        <v>57</v>
      </c>
    </row>
    <row r="69" spans="1:1">
      <c r="A69" s="7" t="s">
        <v>58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2026-06-08T11:50:44Z</dcterms:created>
  <dcterms:modified xsi:type="dcterms:W3CDTF">2026-06-08T11:50:44Z</dcterms:modified>
</cp:coreProperties>
</file>